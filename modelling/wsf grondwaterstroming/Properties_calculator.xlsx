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clones\FusionFiber\modelling\wsf grondwaterstroming\"/>
    </mc:Choice>
  </mc:AlternateContent>
  <xr:revisionPtr revIDLastSave="0" documentId="13_ncr:1_{2C73F58B-E895-430C-9518-F46736A27C13}" xr6:coauthVersionLast="47" xr6:coauthVersionMax="47" xr10:uidLastSave="{00000000-0000-0000-0000-000000000000}"/>
  <bookViews>
    <workbookView xWindow="-108" yWindow="-108" windowWidth="23256" windowHeight="13896" xr2:uid="{3632657A-28F7-4C1C-ABB4-32E130E65C3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3" i="1" l="1"/>
  <c r="P34" i="1"/>
  <c r="P35" i="1"/>
  <c r="P36" i="1"/>
  <c r="P37" i="1"/>
  <c r="P38" i="1"/>
  <c r="P39" i="1"/>
  <c r="P40" i="1"/>
  <c r="P41" i="1"/>
  <c r="P42" i="1"/>
  <c r="P32" i="1"/>
  <c r="N40" i="1"/>
  <c r="N41" i="1"/>
  <c r="N42" i="1"/>
  <c r="I40" i="1"/>
  <c r="I41" i="1"/>
  <c r="I42" i="1"/>
  <c r="H33" i="1"/>
  <c r="N33" i="1" s="1"/>
  <c r="H34" i="1"/>
  <c r="H35" i="1"/>
  <c r="H36" i="1"/>
  <c r="H37" i="1"/>
  <c r="H38" i="1"/>
  <c r="N38" i="1" s="1"/>
  <c r="H39" i="1"/>
  <c r="N39" i="1" s="1"/>
  <c r="H40" i="1"/>
  <c r="H41" i="1"/>
  <c r="H42" i="1"/>
  <c r="H32" i="1"/>
  <c r="F33" i="1"/>
  <c r="F34" i="1"/>
  <c r="F35" i="1"/>
  <c r="F36" i="1"/>
  <c r="F37" i="1"/>
  <c r="F38" i="1"/>
  <c r="F39" i="1"/>
  <c r="F40" i="1"/>
  <c r="F41" i="1"/>
  <c r="F42" i="1"/>
  <c r="F32" i="1"/>
  <c r="M40" i="1"/>
  <c r="M41" i="1"/>
  <c r="M42" i="1"/>
  <c r="E33" i="1"/>
  <c r="E34" i="1"/>
  <c r="E35" i="1"/>
  <c r="E36" i="1"/>
  <c r="E37" i="1"/>
  <c r="E38" i="1"/>
  <c r="E39" i="1"/>
  <c r="E40" i="1"/>
  <c r="E41" i="1"/>
  <c r="E42" i="1"/>
  <c r="E32" i="1"/>
  <c r="M39" i="1"/>
  <c r="I39" i="1"/>
  <c r="M38" i="1"/>
  <c r="I38" i="1"/>
  <c r="M37" i="1"/>
  <c r="I37" i="1"/>
  <c r="N37" i="1"/>
  <c r="M36" i="1"/>
  <c r="I36" i="1"/>
  <c r="M35" i="1"/>
  <c r="I35" i="1"/>
  <c r="N35" i="1"/>
  <c r="M34" i="1"/>
  <c r="I34" i="1"/>
  <c r="M33" i="1"/>
  <c r="I33" i="1"/>
  <c r="M32" i="1"/>
  <c r="I32" i="1"/>
  <c r="N32" i="1"/>
  <c r="I19" i="1"/>
  <c r="M26" i="1"/>
  <c r="I26" i="1"/>
  <c r="E26" i="1"/>
  <c r="M25" i="1"/>
  <c r="I25" i="1"/>
  <c r="E25" i="1"/>
  <c r="M24" i="1"/>
  <c r="I24" i="1"/>
  <c r="E24" i="1"/>
  <c r="M23" i="1"/>
  <c r="I23" i="1"/>
  <c r="E23" i="1"/>
  <c r="M22" i="1"/>
  <c r="I22" i="1"/>
  <c r="E22" i="1"/>
  <c r="M21" i="1"/>
  <c r="I21" i="1"/>
  <c r="E21" i="1"/>
  <c r="M20" i="1"/>
  <c r="I20" i="1"/>
  <c r="E20" i="1"/>
  <c r="F20" i="1" s="1"/>
  <c r="H20" i="1" s="1"/>
  <c r="M19" i="1"/>
  <c r="E19" i="1"/>
  <c r="B11" i="1"/>
  <c r="N3" i="1"/>
  <c r="B14" i="1"/>
  <c r="B13" i="1"/>
  <c r="B12" i="1"/>
  <c r="N36" i="1" l="1"/>
  <c r="N34" i="1"/>
  <c r="N20" i="1"/>
  <c r="P20" i="1" s="1"/>
  <c r="F19" i="1"/>
  <c r="F21" i="1"/>
  <c r="F25" i="1"/>
  <c r="F24" i="1"/>
  <c r="F23" i="1"/>
  <c r="F22" i="1"/>
  <c r="F26" i="1"/>
  <c r="H19" i="1" l="1"/>
  <c r="H26" i="1"/>
  <c r="N26" i="1" s="1"/>
  <c r="P26" i="1" s="1"/>
  <c r="H25" i="1"/>
  <c r="N25" i="1" s="1"/>
  <c r="P25" i="1" s="1"/>
  <c r="H24" i="1"/>
  <c r="N24" i="1" s="1"/>
  <c r="P24" i="1" s="1"/>
  <c r="H23" i="1"/>
  <c r="N23" i="1" s="1"/>
  <c r="P23" i="1" s="1"/>
  <c r="H22" i="1"/>
  <c r="N22" i="1" s="1"/>
  <c r="P22" i="1" s="1"/>
  <c r="H21" i="1"/>
  <c r="N21" i="1" s="1"/>
  <c r="P21" i="1" s="1"/>
  <c r="N19" i="1" l="1"/>
  <c r="P19" i="1" l="1"/>
</calcChain>
</file>

<file path=xl/sharedStrings.xml><?xml version="1.0" encoding="utf-8"?>
<sst xmlns="http://schemas.openxmlformats.org/spreadsheetml/2006/main" count="115" uniqueCount="71">
  <si>
    <t>n</t>
  </si>
  <si>
    <t>rhos</t>
  </si>
  <si>
    <t>km/m3</t>
  </si>
  <si>
    <t>-</t>
  </si>
  <si>
    <t>cs</t>
  </si>
  <si>
    <t>J/kg*K</t>
  </si>
  <si>
    <t>Ks</t>
  </si>
  <si>
    <t>W/m/K</t>
  </si>
  <si>
    <t>rhow</t>
  </si>
  <si>
    <t>cw</t>
  </si>
  <si>
    <t>Kf</t>
  </si>
  <si>
    <t>cb</t>
  </si>
  <si>
    <t>Kb</t>
  </si>
  <si>
    <t>density water</t>
  </si>
  <si>
    <t>specific heat water</t>
  </si>
  <si>
    <t>thermal conductivity water</t>
  </si>
  <si>
    <t>porosity sand</t>
  </si>
  <si>
    <t>particle density sand</t>
  </si>
  <si>
    <t>specific heat sand</t>
  </si>
  <si>
    <t>thermal conductivity sand</t>
  </si>
  <si>
    <t>bulk thermal conductivity</t>
  </si>
  <si>
    <t>rhob</t>
  </si>
  <si>
    <t>cb=n*rhow*cw+(1-n)*rhos*cs</t>
  </si>
  <si>
    <t>Kb=n*Kf+(1-n)*Ks</t>
  </si>
  <si>
    <t>(fit value so that Kb = 1.6)</t>
  </si>
  <si>
    <t>Cb</t>
  </si>
  <si>
    <t>bulk volumetric heat capacity</t>
  </si>
  <si>
    <t>voltage</t>
  </si>
  <si>
    <t>delta T</t>
  </si>
  <si>
    <t>gw100</t>
  </si>
  <si>
    <t>gw101</t>
  </si>
  <si>
    <t>gw102</t>
  </si>
  <si>
    <t>gw103</t>
  </si>
  <si>
    <t>gw104</t>
  </si>
  <si>
    <t>gw105</t>
  </si>
  <si>
    <t>gw106</t>
  </si>
  <si>
    <t>gw107</t>
  </si>
  <si>
    <t>4pi</t>
  </si>
  <si>
    <t>t1</t>
  </si>
  <si>
    <t>t2</t>
  </si>
  <si>
    <t>ln(t2/t1)</t>
  </si>
  <si>
    <t>themal conductivity</t>
  </si>
  <si>
    <t>test_id</t>
  </si>
  <si>
    <t>L_heat</t>
  </si>
  <si>
    <t>V</t>
  </si>
  <si>
    <t>m</t>
  </si>
  <si>
    <t xml:space="preserve">- </t>
  </si>
  <si>
    <t>K</t>
  </si>
  <si>
    <t>Q</t>
  </si>
  <si>
    <t>W/m</t>
  </si>
  <si>
    <t>ohm/m</t>
  </si>
  <si>
    <t xml:space="preserve">R' </t>
  </si>
  <si>
    <t>ohm</t>
  </si>
  <si>
    <t>Qtotal</t>
  </si>
  <si>
    <t>Relative error</t>
  </si>
  <si>
    <t>%</t>
  </si>
  <si>
    <t>ncores</t>
  </si>
  <si>
    <t>s</t>
  </si>
  <si>
    <t>Rtotal</t>
  </si>
  <si>
    <t>gw300</t>
  </si>
  <si>
    <t>Expected conductivty</t>
  </si>
  <si>
    <t>gw301</t>
  </si>
  <si>
    <t>gw302</t>
  </si>
  <si>
    <t>gw303</t>
  </si>
  <si>
    <t>gw304</t>
  </si>
  <si>
    <t>gw305</t>
  </si>
  <si>
    <t>gw306</t>
  </si>
  <si>
    <t>gw307</t>
  </si>
  <si>
    <t>gw308</t>
  </si>
  <si>
    <t>gw309</t>
  </si>
  <si>
    <t>gw310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</si>
</sst>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4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5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quotePrefix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 applyAlignment="1">
      <alignment horizont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5" fillId="0" borderId="0" xfId="0" applyFont="1"/>
    <xf numFmtId="2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2" fontId="0" fillId="0" borderId="0" xfId="0" applyNumberFormat="1"/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 applyNumberFormat="1"/>
    <xf numFmtId="0" fontId="1" fillId="2" borderId="1" xfId="0" applyFont="1" applyFill="1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/>
    <xf numFmtId="0" fontId="0" fillId="0" borderId="4" xfId="0" quotePrefix="1" applyFont="1" applyBorder="1"/>
    <xf numFmtId="0" fontId="0" fillId="0" borderId="4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0" fillId="0" borderId="4" xfId="0" quotePrefix="1" applyFont="1" applyBorder="1" applyAlignment="1">
      <alignment horizontal="center"/>
    </xf>
    <xf numFmtId="0" fontId="0" fillId="0" borderId="4" xfId="0" applyFont="1" applyBorder="1"/>
    <xf numFmtId="2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164" fontId="3" fillId="0" borderId="4" xfId="0" applyNumberFormat="1" applyFont="1" applyBorder="1" applyAlignment="1">
      <alignment horizontal="center"/>
    </xf>
    <xf numFmtId="164" fontId="6" fillId="0" borderId="4" xfId="0" applyNumberFormat="1" applyFont="1" applyBorder="1" applyAlignment="1">
      <alignment horizontal="center"/>
    </xf>
    <xf numFmtId="2" fontId="0" fillId="0" borderId="4" xfId="0" applyNumberFormat="1" applyFont="1" applyBorder="1"/>
    <xf numFmtId="0" fontId="6" fillId="0" borderId="4" xfId="0" applyFont="1" applyFill="1" applyBorder="1" applyAlignment="1">
      <alignment horizontal="center"/>
    </xf>
    <xf numFmtId="164" fontId="6" fillId="0" borderId="4" xfId="0" applyNumberFormat="1" applyFont="1" applyFill="1" applyBorder="1" applyAlignment="1">
      <alignment horizontal="center"/>
    </xf>
  </cellXfs>
  <cellStyles count="1">
    <cellStyle name="Normal" xfId="0" builtinId="0"/>
  </cellStyles>
  <dxfs count="16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4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4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4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4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4"/>
        <name val="Aptos Narrow"/>
        <family val="2"/>
        <scheme val="minor"/>
      </font>
      <numFmt numFmtId="2" formatCode="0.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4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109613</xdr:colOff>
      <xdr:row>0</xdr:row>
      <xdr:rowOff>122505</xdr:rowOff>
    </xdr:from>
    <xdr:to>
      <xdr:col>19</xdr:col>
      <xdr:colOff>308532</xdr:colOff>
      <xdr:row>16</xdr:row>
      <xdr:rowOff>114885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38EE267-C780-20DC-BA22-C07CAA5558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37290" y="122505"/>
          <a:ext cx="2637319" cy="2899703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17</xdr:col>
      <xdr:colOff>164124</xdr:colOff>
      <xdr:row>17</xdr:row>
      <xdr:rowOff>169984</xdr:rowOff>
    </xdr:from>
    <xdr:to>
      <xdr:col>20</xdr:col>
      <xdr:colOff>572059</xdr:colOff>
      <xdr:row>21</xdr:row>
      <xdr:rowOff>8186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BCBAC0E-41AA-C675-7FD2-8146562153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alphaModFix/>
        </a:blip>
        <a:srcRect t="21958" b="17123"/>
        <a:stretch>
          <a:fillRect/>
        </a:stretch>
      </xdr:blipFill>
      <xdr:spPr>
        <a:xfrm>
          <a:off x="10591801" y="3259015"/>
          <a:ext cx="2236735" cy="565033"/>
        </a:xfrm>
        <a:prstGeom prst="rect">
          <a:avLst/>
        </a:prstGeom>
        <a:ln>
          <a:solidFill>
            <a:schemeClr val="tx2"/>
          </a:solidFill>
        </a:ln>
      </xdr:spPr>
    </xdr:pic>
    <xdr:clientData/>
  </xdr:twoCellAnchor>
  <xdr:twoCellAnchor editAs="oneCell">
    <xdr:from>
      <xdr:col>16</xdr:col>
      <xdr:colOff>785447</xdr:colOff>
      <xdr:row>21</xdr:row>
      <xdr:rowOff>169982</xdr:rowOff>
    </xdr:from>
    <xdr:to>
      <xdr:col>21</xdr:col>
      <xdr:colOff>575982</xdr:colOff>
      <xdr:row>27</xdr:row>
      <xdr:rowOff>167554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4FE870E-7C19-4542-9864-B3F6AE74C1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92509" y="3985844"/>
          <a:ext cx="3219535" cy="1087818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1B2F13E-E38A-4556-AD9E-4A31FC65E5B2}" name="Table134" displayName="Table134" ref="A17:P27" totalsRowShown="0" headerRowDxfId="15">
  <autoFilter ref="A17:P27" xr:uid="{61B2F13E-E38A-4556-AD9E-4A31FC65E5B2}"/>
  <tableColumns count="16">
    <tableColumn id="1" xr3:uid="{D88FD9F6-4197-4562-AEB5-6E64BB7B60DF}" name="test_id"/>
    <tableColumn id="2" xr3:uid="{60857CD5-5FC9-4195-B59E-DCF7E4200979}" name="voltage" dataDxfId="14"/>
    <tableColumn id="3" xr3:uid="{DC49E5D0-E51E-4B30-8721-2B94794996C4}" name="R' " dataDxfId="13"/>
    <tableColumn id="4" xr3:uid="{D3B11A5D-6B20-4BAD-9548-D20A742D41CD}" name="L_heat" dataDxfId="12"/>
    <tableColumn id="5" xr3:uid="{4584E915-A1FB-40E2-8D9A-AF0AA3924EB8}" name="Rtotal" dataDxfId="11"/>
    <tableColumn id="6" xr3:uid="{824832D0-1465-46BF-B1DB-BC3BB2B60BB1}" name="Q" dataDxfId="10">
      <calculatedColumnFormula>#REF!/D18</calculatedColumnFormula>
    </tableColumn>
    <tableColumn id="15" xr3:uid="{EA6FF7B3-D4B1-4528-B1DE-055780E0D12E}" name="ncores" dataDxfId="9"/>
    <tableColumn id="13" xr3:uid="{948E3691-0FA0-4A22-9288-16019CC9AC13}" name="Qtotal" dataDxfId="8"/>
    <tableColumn id="7" xr3:uid="{0EDD676B-B419-4ABD-9D3B-FA77118332A8}" name="4pi" dataDxfId="7">
      <calculatedColumnFormula>4*PI()</calculatedColumnFormula>
    </tableColumn>
    <tableColumn id="8" xr3:uid="{2622F47A-92E3-4F4B-96F1-799116CBCAF1}" name="delta T" dataDxfId="6"/>
    <tableColumn id="9" xr3:uid="{EFB5ABF3-5642-4033-95A1-B6B496ED5777}" name="t1" dataDxfId="5"/>
    <tableColumn id="10" xr3:uid="{801F934D-C1D7-43BB-AFC7-B9E90D9C050B}" name="t2" dataDxfId="4"/>
    <tableColumn id="11" xr3:uid="{41FFD4B4-4283-46A4-8088-6ABC4BE28974}" name="ln(t2/t1)" dataDxfId="3">
      <calculatedColumnFormula>LN(L18/K18)</calculatedColumnFormula>
    </tableColumn>
    <tableColumn id="12" xr3:uid="{592CBC98-0598-4037-9EBB-0C85EDD981BD}" name="themal conductivity" dataDxfId="2">
      <calculatedColumnFormula>(F18/(I18*J18))*M18</calculatedColumnFormula>
    </tableColumn>
    <tableColumn id="16" xr3:uid="{B3214748-DDC5-499A-9049-D295CF923A61}" name="Expected conductivty" dataDxfId="1"/>
    <tableColumn id="14" xr3:uid="{5268CFBE-FCA9-49F7-84B9-D28633D99E4F}" name="Relative error" dataDxfId="0">
      <calculatedColumnFormula>100*((Table134[[#This Row],[themal conductivity]]/1.6)-1)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86DA3-B7D9-4EBD-B1A4-5E6F632602CC}">
  <dimension ref="A1:Q42"/>
  <sheetViews>
    <sheetView tabSelected="1" topLeftCell="A13" zoomScaleNormal="100" workbookViewId="0">
      <selection activeCell="S34" sqref="S34"/>
    </sheetView>
  </sheetViews>
  <sheetFormatPr defaultRowHeight="14.4" x14ac:dyDescent="0.3"/>
  <cols>
    <col min="11" max="11" width="9.77734375" customWidth="1"/>
    <col min="12" max="12" width="13.21875" customWidth="1"/>
    <col min="13" max="13" width="17.5546875" customWidth="1"/>
    <col min="14" max="14" width="10.6640625" customWidth="1"/>
    <col min="15" max="15" width="12" bestFit="1" customWidth="1"/>
    <col min="21" max="21" width="11.88671875" customWidth="1"/>
    <col min="28" max="28" width="16.5546875" bestFit="1" customWidth="1"/>
  </cols>
  <sheetData>
    <row r="1" spans="1:14" x14ac:dyDescent="0.3">
      <c r="A1" t="s">
        <v>8</v>
      </c>
      <c r="B1">
        <v>999</v>
      </c>
      <c r="C1" t="s">
        <v>2</v>
      </c>
      <c r="D1" t="s">
        <v>13</v>
      </c>
    </row>
    <row r="2" spans="1:14" x14ac:dyDescent="0.3">
      <c r="A2" t="s">
        <v>9</v>
      </c>
      <c r="B2">
        <v>4186</v>
      </c>
      <c r="C2" t="s">
        <v>5</v>
      </c>
      <c r="D2" t="s">
        <v>14</v>
      </c>
      <c r="M2" t="s">
        <v>12</v>
      </c>
      <c r="N2">
        <v>1.6</v>
      </c>
    </row>
    <row r="3" spans="1:14" x14ac:dyDescent="0.3">
      <c r="A3" s="8" t="s">
        <v>10</v>
      </c>
      <c r="B3" s="8">
        <v>0.59099999999999997</v>
      </c>
      <c r="C3" s="8" t="s">
        <v>7</v>
      </c>
      <c r="D3" s="8" t="s">
        <v>15</v>
      </c>
      <c r="E3" s="8"/>
      <c r="F3" s="8"/>
      <c r="G3" s="8"/>
      <c r="M3" t="s">
        <v>6</v>
      </c>
      <c r="N3">
        <f>(N2-B6*B3)/(1-B6)</f>
        <v>2.3011694915254237</v>
      </c>
    </row>
    <row r="6" spans="1:14" x14ac:dyDescent="0.3">
      <c r="A6" t="s">
        <v>0</v>
      </c>
      <c r="B6">
        <v>0.41</v>
      </c>
      <c r="C6" t="s">
        <v>3</v>
      </c>
      <c r="D6" t="s">
        <v>16</v>
      </c>
    </row>
    <row r="7" spans="1:14" x14ac:dyDescent="0.3">
      <c r="A7" t="s">
        <v>1</v>
      </c>
      <c r="B7">
        <v>2650</v>
      </c>
      <c r="C7" t="s">
        <v>2</v>
      </c>
      <c r="D7" t="s">
        <v>17</v>
      </c>
    </row>
    <row r="8" spans="1:14" x14ac:dyDescent="0.3">
      <c r="A8" t="s">
        <v>4</v>
      </c>
      <c r="B8">
        <v>830</v>
      </c>
      <c r="C8" t="s">
        <v>5</v>
      </c>
      <c r="D8" t="s">
        <v>18</v>
      </c>
    </row>
    <row r="9" spans="1:14" x14ac:dyDescent="0.3">
      <c r="A9" s="8" t="s">
        <v>6</v>
      </c>
      <c r="B9" s="8">
        <v>2.3011689999999998</v>
      </c>
      <c r="C9" s="8" t="s">
        <v>7</v>
      </c>
      <c r="D9" s="8" t="s">
        <v>19</v>
      </c>
      <c r="E9" s="8"/>
      <c r="F9" s="8"/>
      <c r="G9" s="8" t="s">
        <v>24</v>
      </c>
      <c r="H9" s="8"/>
      <c r="I9" s="8"/>
    </row>
    <row r="11" spans="1:14" x14ac:dyDescent="0.3">
      <c r="A11" t="s">
        <v>21</v>
      </c>
      <c r="B11">
        <f>B6*B1+(1-B6)*B7</f>
        <v>1973.0900000000001</v>
      </c>
    </row>
    <row r="12" spans="1:14" x14ac:dyDescent="0.3">
      <c r="A12" t="s">
        <v>25</v>
      </c>
      <c r="B12">
        <f>B6*B1*B2+(1-B6)*B7*B8</f>
        <v>3012248.74</v>
      </c>
      <c r="D12" t="s">
        <v>26</v>
      </c>
      <c r="H12" t="s">
        <v>22</v>
      </c>
    </row>
    <row r="13" spans="1:14" x14ac:dyDescent="0.3">
      <c r="A13" t="s">
        <v>11</v>
      </c>
      <c r="B13">
        <f>B6*B2+(1-B6)*B8</f>
        <v>2205.96</v>
      </c>
    </row>
    <row r="14" spans="1:14" x14ac:dyDescent="0.3">
      <c r="A14" t="s">
        <v>12</v>
      </c>
      <c r="B14">
        <f>B6*B3+(1-B6)*B9</f>
        <v>1.5999997100000001</v>
      </c>
      <c r="D14" t="s">
        <v>20</v>
      </c>
      <c r="H14" t="s">
        <v>23</v>
      </c>
    </row>
    <row r="17" spans="1:17" x14ac:dyDescent="0.3">
      <c r="A17" s="2" t="s">
        <v>42</v>
      </c>
      <c r="B17" s="6" t="s">
        <v>27</v>
      </c>
      <c r="C17" s="6" t="s">
        <v>51</v>
      </c>
      <c r="D17" s="6" t="s">
        <v>43</v>
      </c>
      <c r="E17" s="6" t="s">
        <v>58</v>
      </c>
      <c r="F17" s="7" t="s">
        <v>48</v>
      </c>
      <c r="G17" s="7" t="s">
        <v>56</v>
      </c>
      <c r="H17" s="7" t="s">
        <v>53</v>
      </c>
      <c r="I17" s="7" t="s">
        <v>37</v>
      </c>
      <c r="J17" s="7" t="s">
        <v>28</v>
      </c>
      <c r="K17" s="6" t="s">
        <v>38</v>
      </c>
      <c r="L17" s="6" t="s">
        <v>39</v>
      </c>
      <c r="M17" s="7" t="s">
        <v>40</v>
      </c>
      <c r="N17" s="6" t="s">
        <v>41</v>
      </c>
      <c r="O17" s="6" t="s">
        <v>60</v>
      </c>
      <c r="P17" s="2" t="s">
        <v>54</v>
      </c>
    </row>
    <row r="18" spans="1:17" s="2" customFormat="1" x14ac:dyDescent="0.3">
      <c r="A18" s="1" t="s">
        <v>3</v>
      </c>
      <c r="B18" s="3" t="s">
        <v>44</v>
      </c>
      <c r="C18" s="3" t="s">
        <v>50</v>
      </c>
      <c r="D18" s="3" t="s">
        <v>45</v>
      </c>
      <c r="E18" s="5" t="s">
        <v>52</v>
      </c>
      <c r="F18" s="3" t="s">
        <v>49</v>
      </c>
      <c r="G18" s="3" t="s">
        <v>3</v>
      </c>
      <c r="H18" s="3" t="s">
        <v>49</v>
      </c>
      <c r="I18" s="4" t="s">
        <v>46</v>
      </c>
      <c r="J18" s="3" t="s">
        <v>47</v>
      </c>
      <c r="K18" s="3" t="s">
        <v>57</v>
      </c>
      <c r="L18" s="3" t="s">
        <v>57</v>
      </c>
      <c r="M18" s="4" t="s">
        <v>3</v>
      </c>
      <c r="N18" s="5" t="s">
        <v>7</v>
      </c>
      <c r="O18" s="5" t="s">
        <v>7</v>
      </c>
      <c r="P18" t="s">
        <v>55</v>
      </c>
      <c r="Q18"/>
    </row>
    <row r="19" spans="1:17" x14ac:dyDescent="0.3">
      <c r="A19" t="s">
        <v>29</v>
      </c>
      <c r="B19" s="3">
        <v>230</v>
      </c>
      <c r="C19" s="3">
        <v>1.47</v>
      </c>
      <c r="D19" s="5">
        <v>28</v>
      </c>
      <c r="E19" s="5">
        <f>Table134[[#This Row],[R'' ]]*Table134[[#This Row],[L_heat]]</f>
        <v>41.16</v>
      </c>
      <c r="F19" s="9">
        <f>Table134[[#This Row],[voltage]]^2/(Table134[[#This Row],[Rtotal]]*Table134[[#This Row],[L_heat]])</f>
        <v>45.901013466611133</v>
      </c>
      <c r="G19" s="13">
        <v>2</v>
      </c>
      <c r="H19" s="9">
        <f>Table134[[#This Row],[Q]]*Table134[[#This Row],[ncores]]</f>
        <v>91.802026933222265</v>
      </c>
      <c r="I19" s="9">
        <f>4*PI()</f>
        <v>12.566370614359172</v>
      </c>
      <c r="J19" s="14">
        <v>4.7300000000000004</v>
      </c>
      <c r="K19" s="3">
        <v>600</v>
      </c>
      <c r="L19" s="3">
        <v>1700</v>
      </c>
      <c r="M19" s="10">
        <f>LN(L19/K19)</f>
        <v>1.0414538748281612</v>
      </c>
      <c r="N19" s="11">
        <f>(H19/(I19*J19))*M19</f>
        <v>1.6085008904376361</v>
      </c>
      <c r="O19" s="11">
        <v>1.6</v>
      </c>
      <c r="P19" s="12">
        <f>100*((Table134[[#This Row],[themal conductivity]]/1.6)-1)</f>
        <v>0.53130565235224303</v>
      </c>
    </row>
    <row r="20" spans="1:17" x14ac:dyDescent="0.3">
      <c r="A20" t="s">
        <v>30</v>
      </c>
      <c r="B20" s="3">
        <v>200</v>
      </c>
      <c r="C20" s="3">
        <v>1.47</v>
      </c>
      <c r="D20" s="5">
        <v>28</v>
      </c>
      <c r="E20" s="5">
        <f>Table134[[#This Row],[R'' ]]*Table134[[#This Row],[L_heat]]</f>
        <v>41.16</v>
      </c>
      <c r="F20" s="9">
        <f>Table134[[#This Row],[voltage]]^2/(Table134[[#This Row],[Rtotal]]*Table134[[#This Row],[L_heat]])</f>
        <v>34.70776065528252</v>
      </c>
      <c r="G20" s="13">
        <v>2</v>
      </c>
      <c r="H20" s="9">
        <f>Table134[[#This Row],[Q]]*Table134[[#This Row],[ncores]]</f>
        <v>69.41552131056504</v>
      </c>
      <c r="I20" s="9">
        <f t="shared" ref="I20:I26" si="0">4*PI()</f>
        <v>12.566370614359172</v>
      </c>
      <c r="J20" s="14">
        <v>3.58</v>
      </c>
      <c r="K20" s="3">
        <v>600</v>
      </c>
      <c r="L20" s="3">
        <v>1700</v>
      </c>
      <c r="M20" s="10">
        <f t="shared" ref="M20:M26" si="1">LN(L20/K20)</f>
        <v>1.0414538748281612</v>
      </c>
      <c r="N20" s="11">
        <f t="shared" ref="N20:N26" si="2">(H20/(I20*J20))*M20</f>
        <v>1.606955087974574</v>
      </c>
      <c r="O20" s="11">
        <v>1.6</v>
      </c>
      <c r="P20" s="12">
        <f>100*((Table134[[#This Row],[themal conductivity]]/1.6)-1)</f>
        <v>0.43469299841085718</v>
      </c>
    </row>
    <row r="21" spans="1:17" x14ac:dyDescent="0.3">
      <c r="A21" t="s">
        <v>31</v>
      </c>
      <c r="B21" s="3">
        <v>170</v>
      </c>
      <c r="C21" s="3">
        <v>1.47</v>
      </c>
      <c r="D21" s="5">
        <v>28</v>
      </c>
      <c r="E21" s="5">
        <f>Table134[[#This Row],[R'' ]]*Table134[[#This Row],[L_heat]]</f>
        <v>41.16</v>
      </c>
      <c r="F21" s="9">
        <f>Table134[[#This Row],[voltage]]^2/(Table134[[#This Row],[Rtotal]]*Table134[[#This Row],[L_heat]])</f>
        <v>25.076357073441621</v>
      </c>
      <c r="G21" s="13">
        <v>2</v>
      </c>
      <c r="H21" s="9">
        <f>Table134[[#This Row],[Q]]*Table134[[#This Row],[ncores]]</f>
        <v>50.152714146883241</v>
      </c>
      <c r="I21" s="9">
        <f t="shared" si="0"/>
        <v>12.566370614359172</v>
      </c>
      <c r="J21" s="14">
        <v>2.58</v>
      </c>
      <c r="K21" s="3">
        <v>600</v>
      </c>
      <c r="L21" s="3">
        <v>1700</v>
      </c>
      <c r="M21" s="10">
        <f t="shared" si="1"/>
        <v>1.0414538748281612</v>
      </c>
      <c r="N21" s="11">
        <f t="shared" si="2"/>
        <v>1.6110347607754398</v>
      </c>
      <c r="O21" s="11">
        <v>1.6</v>
      </c>
      <c r="P21" s="12">
        <f>100*((Table134[[#This Row],[themal conductivity]]/1.6)-1)</f>
        <v>0.68967254846499237</v>
      </c>
    </row>
    <row r="22" spans="1:17" x14ac:dyDescent="0.3">
      <c r="A22" t="s">
        <v>32</v>
      </c>
      <c r="B22" s="3">
        <v>140</v>
      </c>
      <c r="C22" s="3">
        <v>1.47</v>
      </c>
      <c r="D22" s="5">
        <v>28</v>
      </c>
      <c r="E22" s="5">
        <f>Table134[[#This Row],[R'' ]]*Table134[[#This Row],[L_heat]]</f>
        <v>41.16</v>
      </c>
      <c r="F22" s="9">
        <f>Table134[[#This Row],[voltage]]^2/(Table134[[#This Row],[Rtotal]]*Table134[[#This Row],[L_heat]])</f>
        <v>17.006802721088434</v>
      </c>
      <c r="G22" s="13">
        <v>2</v>
      </c>
      <c r="H22" s="9">
        <f>Table134[[#This Row],[Q]]*Table134[[#This Row],[ncores]]</f>
        <v>34.013605442176868</v>
      </c>
      <c r="I22" s="9">
        <f t="shared" si="0"/>
        <v>12.566370614359172</v>
      </c>
      <c r="J22" s="14">
        <v>1.75</v>
      </c>
      <c r="K22" s="3">
        <v>600</v>
      </c>
      <c r="L22" s="3">
        <v>1700</v>
      </c>
      <c r="M22" s="10">
        <f t="shared" si="1"/>
        <v>1.0414538748281612</v>
      </c>
      <c r="N22" s="11">
        <f t="shared" si="2"/>
        <v>1.6108117801857129</v>
      </c>
      <c r="O22" s="11">
        <v>1.6</v>
      </c>
      <c r="P22" s="12">
        <f>100*((Table134[[#This Row],[themal conductivity]]/1.6)-1)</f>
        <v>0.67573626160704059</v>
      </c>
    </row>
    <row r="23" spans="1:17" x14ac:dyDescent="0.3">
      <c r="A23" t="s">
        <v>33</v>
      </c>
      <c r="B23" s="3">
        <v>110</v>
      </c>
      <c r="C23" s="3">
        <v>1.47</v>
      </c>
      <c r="D23" s="5">
        <v>28</v>
      </c>
      <c r="E23" s="5">
        <f>Table134[[#This Row],[R'' ]]*Table134[[#This Row],[L_heat]]</f>
        <v>41.16</v>
      </c>
      <c r="F23" s="9">
        <f>Table134[[#This Row],[voltage]]^2/(Table134[[#This Row],[Rtotal]]*Table134[[#This Row],[L_heat]])</f>
        <v>10.499097598222962</v>
      </c>
      <c r="G23" s="13">
        <v>2</v>
      </c>
      <c r="H23" s="9">
        <f>Table134[[#This Row],[Q]]*Table134[[#This Row],[ncores]]</f>
        <v>20.998195196445923</v>
      </c>
      <c r="I23" s="9">
        <f t="shared" si="0"/>
        <v>12.566370614359172</v>
      </c>
      <c r="J23" s="14">
        <v>1.08</v>
      </c>
      <c r="K23" s="3">
        <v>600</v>
      </c>
      <c r="L23" s="3">
        <v>1700</v>
      </c>
      <c r="M23" s="10">
        <f t="shared" si="1"/>
        <v>1.0414538748281612</v>
      </c>
      <c r="N23" s="11">
        <f t="shared" si="2"/>
        <v>1.6113444560389489</v>
      </c>
      <c r="O23" s="11">
        <v>1.6</v>
      </c>
      <c r="P23" s="12">
        <f>100*((Table134[[#This Row],[themal conductivity]]/1.6)-1)</f>
        <v>0.70902850243430571</v>
      </c>
    </row>
    <row r="24" spans="1:17" x14ac:dyDescent="0.3">
      <c r="A24" t="s">
        <v>34</v>
      </c>
      <c r="B24" s="3">
        <v>80</v>
      </c>
      <c r="C24" s="3">
        <v>1.47</v>
      </c>
      <c r="D24" s="5">
        <v>28</v>
      </c>
      <c r="E24" s="5">
        <f>Table134[[#This Row],[R'' ]]*Table134[[#This Row],[L_heat]]</f>
        <v>41.16</v>
      </c>
      <c r="F24" s="9">
        <f>Table134[[#This Row],[voltage]]^2/(Table134[[#This Row],[Rtotal]]*Table134[[#This Row],[L_heat]])</f>
        <v>5.5532417048452034</v>
      </c>
      <c r="G24" s="13">
        <v>2</v>
      </c>
      <c r="H24" s="9">
        <f>Table134[[#This Row],[Q]]*Table134[[#This Row],[ncores]]</f>
        <v>11.106483409690407</v>
      </c>
      <c r="I24" s="9">
        <f t="shared" si="0"/>
        <v>12.566370614359172</v>
      </c>
      <c r="J24" s="14">
        <v>0.56999999999999995</v>
      </c>
      <c r="K24" s="3">
        <v>600</v>
      </c>
      <c r="L24" s="3">
        <v>1700</v>
      </c>
      <c r="M24" s="10">
        <f t="shared" si="1"/>
        <v>1.0414538748281612</v>
      </c>
      <c r="N24" s="11">
        <f t="shared" si="2"/>
        <v>1.614848902441818</v>
      </c>
      <c r="O24" s="11">
        <v>1.6</v>
      </c>
      <c r="P24" s="12">
        <f>100*((Table134[[#This Row],[themal conductivity]]/1.6)-1)</f>
        <v>0.92805640261361955</v>
      </c>
    </row>
    <row r="25" spans="1:17" x14ac:dyDescent="0.3">
      <c r="A25" t="s">
        <v>35</v>
      </c>
      <c r="B25" s="3">
        <v>50</v>
      </c>
      <c r="C25" s="3">
        <v>1.47</v>
      </c>
      <c r="D25" s="5">
        <v>28</v>
      </c>
      <c r="E25" s="5">
        <f>Table134[[#This Row],[R'' ]]*Table134[[#This Row],[L_heat]]</f>
        <v>41.16</v>
      </c>
      <c r="F25" s="9">
        <f>Table134[[#This Row],[voltage]]^2/(Table134[[#This Row],[Rtotal]]*Table134[[#This Row],[L_heat]])</f>
        <v>2.1692350409551575</v>
      </c>
      <c r="G25" s="13">
        <v>2</v>
      </c>
      <c r="H25" s="9">
        <f>Table134[[#This Row],[Q]]*Table134[[#This Row],[ncores]]</f>
        <v>4.338470081910315</v>
      </c>
      <c r="I25" s="9">
        <f t="shared" si="0"/>
        <v>12.566370614359172</v>
      </c>
      <c r="J25" s="14">
        <v>0.22</v>
      </c>
      <c r="K25" s="3">
        <v>600</v>
      </c>
      <c r="L25" s="3">
        <v>1700</v>
      </c>
      <c r="M25" s="10">
        <f t="shared" si="1"/>
        <v>1.0414538748281612</v>
      </c>
      <c r="N25" s="11">
        <f t="shared" si="2"/>
        <v>1.634346367883232</v>
      </c>
      <c r="O25" s="11">
        <v>1.6</v>
      </c>
      <c r="P25" s="12">
        <f>100*((Table134[[#This Row],[themal conductivity]]/1.6)-1)</f>
        <v>2.1466479927019888</v>
      </c>
    </row>
    <row r="26" spans="1:17" x14ac:dyDescent="0.3">
      <c r="A26" t="s">
        <v>36</v>
      </c>
      <c r="B26" s="3">
        <v>20</v>
      </c>
      <c r="C26" s="3">
        <v>1.47</v>
      </c>
      <c r="D26" s="5">
        <v>28</v>
      </c>
      <c r="E26" s="5">
        <f>Table134[[#This Row],[R'' ]]*Table134[[#This Row],[L_heat]]</f>
        <v>41.16</v>
      </c>
      <c r="F26" s="9">
        <f>Table134[[#This Row],[voltage]]^2/(Table134[[#This Row],[Rtotal]]*Table134[[#This Row],[L_heat]])</f>
        <v>0.34707760655282521</v>
      </c>
      <c r="G26" s="13">
        <v>2</v>
      </c>
      <c r="H26" s="9">
        <f>Table134[[#This Row],[Q]]*Table134[[#This Row],[ncores]]</f>
        <v>0.69415521310565043</v>
      </c>
      <c r="I26" s="9">
        <f t="shared" si="0"/>
        <v>12.566370614359172</v>
      </c>
      <c r="J26" s="14">
        <v>0.04</v>
      </c>
      <c r="K26" s="3">
        <v>600</v>
      </c>
      <c r="L26" s="3">
        <v>1700</v>
      </c>
      <c r="M26" s="10">
        <f t="shared" si="1"/>
        <v>1.0414538748281612</v>
      </c>
      <c r="N26" s="11">
        <f t="shared" si="2"/>
        <v>1.4382248037372438</v>
      </c>
      <c r="O26" s="11">
        <v>1.6</v>
      </c>
      <c r="P26" s="12">
        <f>100*((Table134[[#This Row],[themal conductivity]]/1.6)-1)</f>
        <v>-10.110949766422262</v>
      </c>
    </row>
    <row r="27" spans="1:17" x14ac:dyDescent="0.3">
      <c r="B27" s="3"/>
      <c r="C27" s="3"/>
      <c r="D27" s="5"/>
      <c r="E27" s="5"/>
      <c r="F27" s="13"/>
      <c r="G27" s="9"/>
      <c r="H27" s="13"/>
      <c r="I27" s="13"/>
      <c r="J27" s="13"/>
      <c r="K27" s="3"/>
      <c r="L27" s="3"/>
      <c r="M27" s="13"/>
      <c r="N27" s="5"/>
      <c r="O27" s="11"/>
      <c r="P27" s="15"/>
    </row>
    <row r="28" spans="1:17" x14ac:dyDescent="0.3">
      <c r="A28" s="2"/>
      <c r="B28" s="6"/>
      <c r="C28" s="6"/>
      <c r="D28" s="6"/>
      <c r="E28" s="6"/>
      <c r="F28" s="7"/>
      <c r="G28" s="7"/>
      <c r="H28" s="7"/>
      <c r="I28" s="7"/>
      <c r="J28" s="7"/>
      <c r="K28" s="6"/>
      <c r="L28" s="6"/>
      <c r="M28" s="7"/>
      <c r="N28" s="6"/>
      <c r="O28" s="6"/>
      <c r="P28" s="2"/>
    </row>
    <row r="29" spans="1:17" x14ac:dyDescent="0.3">
      <c r="A29" s="1"/>
      <c r="B29" s="3"/>
      <c r="C29" s="3"/>
      <c r="D29" s="3"/>
      <c r="E29" s="5"/>
      <c r="F29" s="3"/>
      <c r="G29" s="3"/>
      <c r="H29" s="3"/>
      <c r="I29" s="4"/>
      <c r="J29" s="3"/>
      <c r="K29" s="3"/>
      <c r="L29" s="3"/>
      <c r="M29" s="4"/>
      <c r="N29" s="5"/>
      <c r="O29" s="5"/>
    </row>
    <row r="30" spans="1:17" x14ac:dyDescent="0.3">
      <c r="A30" s="16" t="s">
        <v>42</v>
      </c>
      <c r="B30" s="17" t="s">
        <v>27</v>
      </c>
      <c r="C30" s="17" t="s">
        <v>51</v>
      </c>
      <c r="D30" s="17" t="s">
        <v>43</v>
      </c>
      <c r="E30" s="17" t="s">
        <v>58</v>
      </c>
      <c r="F30" s="17" t="s">
        <v>48</v>
      </c>
      <c r="G30" s="17" t="s">
        <v>56</v>
      </c>
      <c r="H30" s="17" t="s">
        <v>53</v>
      </c>
      <c r="I30" s="17" t="s">
        <v>37</v>
      </c>
      <c r="J30" s="17" t="s">
        <v>28</v>
      </c>
      <c r="K30" s="17" t="s">
        <v>38</v>
      </c>
      <c r="L30" s="17" t="s">
        <v>39</v>
      </c>
      <c r="M30" s="17" t="s">
        <v>40</v>
      </c>
      <c r="N30" s="17" t="s">
        <v>41</v>
      </c>
      <c r="O30" s="17" t="s">
        <v>60</v>
      </c>
      <c r="P30" s="18" t="s">
        <v>54</v>
      </c>
    </row>
    <row r="31" spans="1:17" x14ac:dyDescent="0.3">
      <c r="A31" s="19" t="s">
        <v>3</v>
      </c>
      <c r="B31" s="20" t="s">
        <v>44</v>
      </c>
      <c r="C31" s="20" t="s">
        <v>50</v>
      </c>
      <c r="D31" s="20" t="s">
        <v>45</v>
      </c>
      <c r="E31" s="21" t="s">
        <v>52</v>
      </c>
      <c r="F31" s="20" t="s">
        <v>49</v>
      </c>
      <c r="G31" s="20" t="s">
        <v>3</v>
      </c>
      <c r="H31" s="20" t="s">
        <v>49</v>
      </c>
      <c r="I31" s="22" t="s">
        <v>46</v>
      </c>
      <c r="J31" s="20" t="s">
        <v>47</v>
      </c>
      <c r="K31" s="20" t="s">
        <v>57</v>
      </c>
      <c r="L31" s="20" t="s">
        <v>57</v>
      </c>
      <c r="M31" s="22" t="s">
        <v>3</v>
      </c>
      <c r="N31" s="21" t="s">
        <v>7</v>
      </c>
      <c r="O31" s="21" t="s">
        <v>7</v>
      </c>
      <c r="P31" s="23" t="s">
        <v>55</v>
      </c>
    </row>
    <row r="32" spans="1:17" x14ac:dyDescent="0.3">
      <c r="A32" s="23" t="s">
        <v>59</v>
      </c>
      <c r="B32" s="20">
        <v>230</v>
      </c>
      <c r="C32" s="20">
        <v>1.47</v>
      </c>
      <c r="D32" s="21">
        <v>28</v>
      </c>
      <c r="E32" s="21">
        <f>C32*D32</f>
        <v>41.16</v>
      </c>
      <c r="F32" s="24">
        <f>B32^2/(E32*D32)</f>
        <v>45.901013466611133</v>
      </c>
      <c r="G32" s="25">
        <v>2</v>
      </c>
      <c r="H32" s="24">
        <f>F32*G32</f>
        <v>91.802026933222265</v>
      </c>
      <c r="I32" s="24">
        <f>4*PI()</f>
        <v>12.566370614359172</v>
      </c>
      <c r="J32" s="26">
        <v>7.39</v>
      </c>
      <c r="K32" s="20">
        <v>600</v>
      </c>
      <c r="L32" s="20">
        <v>1700</v>
      </c>
      <c r="M32" s="27">
        <f>LN(L32/K32)</f>
        <v>1.0414538748281612</v>
      </c>
      <c r="N32" s="28">
        <f>(H32/(I32*J32))*M32</f>
        <v>1.029527633527743</v>
      </c>
      <c r="O32" s="28">
        <v>1</v>
      </c>
      <c r="P32" s="29">
        <f>100*((N32/O32)-1)</f>
        <v>2.9527633527743014</v>
      </c>
    </row>
    <row r="33" spans="1:16" x14ac:dyDescent="0.3">
      <c r="A33" s="23" t="s">
        <v>61</v>
      </c>
      <c r="B33" s="20">
        <v>230</v>
      </c>
      <c r="C33" s="20">
        <v>1.47</v>
      </c>
      <c r="D33" s="21">
        <v>28</v>
      </c>
      <c r="E33" s="21">
        <f t="shared" ref="E33:E42" si="3">C33*D33</f>
        <v>41.16</v>
      </c>
      <c r="F33" s="24">
        <f t="shared" ref="F33:F42" si="4">B33^2/(E33*D33)</f>
        <v>45.901013466611133</v>
      </c>
      <c r="G33" s="25">
        <v>2</v>
      </c>
      <c r="H33" s="24">
        <f t="shared" ref="H33:H42" si="5">F33*G33</f>
        <v>91.802026933222265</v>
      </c>
      <c r="I33" s="24">
        <f t="shared" ref="I33:I42" si="6">4*PI()</f>
        <v>12.566370614359172</v>
      </c>
      <c r="J33" s="26">
        <v>6.22</v>
      </c>
      <c r="K33" s="20">
        <v>600</v>
      </c>
      <c r="L33" s="20">
        <v>1700</v>
      </c>
      <c r="M33" s="27">
        <f t="shared" ref="M33:M39" si="7">LN(L33/K33)</f>
        <v>1.0414538748281612</v>
      </c>
      <c r="N33" s="28">
        <f t="shared" ref="N33:N42" si="8">(H33/(I33*J33))*M33</f>
        <v>1.2231847607347299</v>
      </c>
      <c r="O33" s="28">
        <v>1.2</v>
      </c>
      <c r="P33" s="29">
        <f t="shared" ref="P33:P42" si="9">100*((N33/O33)-1)</f>
        <v>1.9320633945608234</v>
      </c>
    </row>
    <row r="34" spans="1:16" x14ac:dyDescent="0.3">
      <c r="A34" s="23" t="s">
        <v>62</v>
      </c>
      <c r="B34" s="20">
        <v>230</v>
      </c>
      <c r="C34" s="20">
        <v>1.47</v>
      </c>
      <c r="D34" s="21">
        <v>28</v>
      </c>
      <c r="E34" s="21">
        <f t="shared" si="3"/>
        <v>41.16</v>
      </c>
      <c r="F34" s="24">
        <f t="shared" si="4"/>
        <v>45.901013466611133</v>
      </c>
      <c r="G34" s="25">
        <v>2</v>
      </c>
      <c r="H34" s="24">
        <f t="shared" si="5"/>
        <v>91.802026933222265</v>
      </c>
      <c r="I34" s="24">
        <f t="shared" si="6"/>
        <v>12.566370614359172</v>
      </c>
      <c r="J34" s="26">
        <v>5.37</v>
      </c>
      <c r="K34" s="20">
        <v>600</v>
      </c>
      <c r="L34" s="20">
        <v>1700</v>
      </c>
      <c r="M34" s="27">
        <f t="shared" si="7"/>
        <v>1.0414538748281612</v>
      </c>
      <c r="N34" s="28">
        <f t="shared" si="8"/>
        <v>1.4167987358975831</v>
      </c>
      <c r="O34" s="28">
        <v>1.4</v>
      </c>
      <c r="P34" s="29">
        <f t="shared" si="9"/>
        <v>1.1999097069702369</v>
      </c>
    </row>
    <row r="35" spans="1:16" x14ac:dyDescent="0.3">
      <c r="A35" s="23" t="s">
        <v>63</v>
      </c>
      <c r="B35" s="20">
        <v>230</v>
      </c>
      <c r="C35" s="20">
        <v>1.47</v>
      </c>
      <c r="D35" s="21">
        <v>28</v>
      </c>
      <c r="E35" s="21">
        <f t="shared" si="3"/>
        <v>41.16</v>
      </c>
      <c r="F35" s="24">
        <f t="shared" si="4"/>
        <v>45.901013466611133</v>
      </c>
      <c r="G35" s="25">
        <v>2</v>
      </c>
      <c r="H35" s="24">
        <f t="shared" si="5"/>
        <v>91.802026933222265</v>
      </c>
      <c r="I35" s="24">
        <f t="shared" si="6"/>
        <v>12.566370614359172</v>
      </c>
      <c r="J35" s="26">
        <v>4.7300000000000004</v>
      </c>
      <c r="K35" s="20">
        <v>600</v>
      </c>
      <c r="L35" s="20">
        <v>1700</v>
      </c>
      <c r="M35" s="27">
        <f t="shared" si="7"/>
        <v>1.0414538748281612</v>
      </c>
      <c r="N35" s="28">
        <f t="shared" si="8"/>
        <v>1.6085008904376361</v>
      </c>
      <c r="O35" s="28">
        <v>1.6</v>
      </c>
      <c r="P35" s="29">
        <f t="shared" si="9"/>
        <v>0.53130565235224303</v>
      </c>
    </row>
    <row r="36" spans="1:16" x14ac:dyDescent="0.3">
      <c r="A36" s="23" t="s">
        <v>64</v>
      </c>
      <c r="B36" s="20">
        <v>230</v>
      </c>
      <c r="C36" s="20">
        <v>1.47</v>
      </c>
      <c r="D36" s="21">
        <v>28</v>
      </c>
      <c r="E36" s="21">
        <f t="shared" si="3"/>
        <v>41.16</v>
      </c>
      <c r="F36" s="24">
        <f t="shared" si="4"/>
        <v>45.901013466611133</v>
      </c>
      <c r="G36" s="25">
        <v>2</v>
      </c>
      <c r="H36" s="24">
        <f t="shared" si="5"/>
        <v>91.802026933222265</v>
      </c>
      <c r="I36" s="24">
        <f t="shared" si="6"/>
        <v>12.566370614359172</v>
      </c>
      <c r="J36" s="26">
        <v>4.22</v>
      </c>
      <c r="K36" s="20">
        <v>600</v>
      </c>
      <c r="L36" s="20">
        <v>1700</v>
      </c>
      <c r="M36" s="27">
        <f t="shared" si="7"/>
        <v>1.0414538748281612</v>
      </c>
      <c r="N36" s="28">
        <f t="shared" si="8"/>
        <v>1.8028931781445545</v>
      </c>
      <c r="O36" s="28">
        <v>1.8</v>
      </c>
      <c r="P36" s="29">
        <f t="shared" si="9"/>
        <v>0.16073211914191532</v>
      </c>
    </row>
    <row r="37" spans="1:16" x14ac:dyDescent="0.3">
      <c r="A37" s="23" t="s">
        <v>65</v>
      </c>
      <c r="B37" s="20">
        <v>230</v>
      </c>
      <c r="C37" s="20">
        <v>1.47</v>
      </c>
      <c r="D37" s="21">
        <v>28</v>
      </c>
      <c r="E37" s="21">
        <f t="shared" si="3"/>
        <v>41.16</v>
      </c>
      <c r="F37" s="24">
        <f t="shared" si="4"/>
        <v>45.901013466611133</v>
      </c>
      <c r="G37" s="25">
        <v>2</v>
      </c>
      <c r="H37" s="24">
        <f t="shared" si="5"/>
        <v>91.802026933222265</v>
      </c>
      <c r="I37" s="24">
        <f t="shared" si="6"/>
        <v>12.566370614359172</v>
      </c>
      <c r="J37" s="26">
        <v>3.81</v>
      </c>
      <c r="K37" s="20">
        <v>600</v>
      </c>
      <c r="L37" s="20">
        <v>1700</v>
      </c>
      <c r="M37" s="27">
        <f t="shared" si="7"/>
        <v>1.0414538748281612</v>
      </c>
      <c r="N37" s="28">
        <f t="shared" si="8"/>
        <v>1.9969053049265144</v>
      </c>
      <c r="O37" s="28">
        <v>2</v>
      </c>
      <c r="P37" s="29">
        <f t="shared" si="9"/>
        <v>-0.15473475367427936</v>
      </c>
    </row>
    <row r="38" spans="1:16" x14ac:dyDescent="0.3">
      <c r="A38" s="23" t="s">
        <v>66</v>
      </c>
      <c r="B38" s="20">
        <v>230</v>
      </c>
      <c r="C38" s="20">
        <v>1.47</v>
      </c>
      <c r="D38" s="21">
        <v>28</v>
      </c>
      <c r="E38" s="21">
        <f t="shared" si="3"/>
        <v>41.16</v>
      </c>
      <c r="F38" s="24">
        <f t="shared" si="4"/>
        <v>45.901013466611133</v>
      </c>
      <c r="G38" s="25">
        <v>2</v>
      </c>
      <c r="H38" s="24">
        <f t="shared" si="5"/>
        <v>91.802026933222265</v>
      </c>
      <c r="I38" s="24">
        <f t="shared" si="6"/>
        <v>12.566370614359172</v>
      </c>
      <c r="J38" s="26">
        <v>3.48</v>
      </c>
      <c r="K38" s="20">
        <v>600</v>
      </c>
      <c r="L38" s="20">
        <v>1700</v>
      </c>
      <c r="M38" s="27">
        <f t="shared" si="7"/>
        <v>1.0414538748281612</v>
      </c>
      <c r="N38" s="28">
        <f t="shared" si="8"/>
        <v>2.1862670148764427</v>
      </c>
      <c r="O38" s="28">
        <v>2.2000000000000002</v>
      </c>
      <c r="P38" s="29">
        <f t="shared" si="9"/>
        <v>-0.62422659652533463</v>
      </c>
    </row>
    <row r="39" spans="1:16" x14ac:dyDescent="0.3">
      <c r="A39" s="23" t="s">
        <v>67</v>
      </c>
      <c r="B39" s="20">
        <v>230</v>
      </c>
      <c r="C39" s="20">
        <v>1.47</v>
      </c>
      <c r="D39" s="21">
        <v>28</v>
      </c>
      <c r="E39" s="21">
        <f t="shared" si="3"/>
        <v>41.16</v>
      </c>
      <c r="F39" s="24">
        <f t="shared" si="4"/>
        <v>45.901013466611133</v>
      </c>
      <c r="G39" s="25">
        <v>2</v>
      </c>
      <c r="H39" s="24">
        <f t="shared" si="5"/>
        <v>91.802026933222265</v>
      </c>
      <c r="I39" s="24">
        <f t="shared" si="6"/>
        <v>12.566370614359172</v>
      </c>
      <c r="J39" s="26">
        <v>3.2</v>
      </c>
      <c r="K39" s="20">
        <v>600</v>
      </c>
      <c r="L39" s="20">
        <v>1700</v>
      </c>
      <c r="M39" s="27">
        <f t="shared" si="7"/>
        <v>1.0414538748281612</v>
      </c>
      <c r="N39" s="28">
        <f t="shared" si="8"/>
        <v>2.3775653786781317</v>
      </c>
      <c r="O39" s="28">
        <v>2.4</v>
      </c>
      <c r="P39" s="29">
        <f t="shared" si="9"/>
        <v>-0.93477588841117676</v>
      </c>
    </row>
    <row r="40" spans="1:16" x14ac:dyDescent="0.3">
      <c r="A40" s="23" t="s">
        <v>68</v>
      </c>
      <c r="B40" s="20">
        <v>230</v>
      </c>
      <c r="C40" s="20">
        <v>1.47</v>
      </c>
      <c r="D40" s="21">
        <v>28</v>
      </c>
      <c r="E40" s="21">
        <f t="shared" si="3"/>
        <v>41.16</v>
      </c>
      <c r="F40" s="24">
        <f t="shared" si="4"/>
        <v>45.901013466611133</v>
      </c>
      <c r="G40" s="25">
        <v>2</v>
      </c>
      <c r="H40" s="24">
        <f t="shared" si="5"/>
        <v>91.802026933222265</v>
      </c>
      <c r="I40" s="24">
        <f t="shared" si="6"/>
        <v>12.566370614359172</v>
      </c>
      <c r="J40" s="30">
        <v>2.96</v>
      </c>
      <c r="K40" s="20">
        <v>600</v>
      </c>
      <c r="L40" s="20">
        <v>1700</v>
      </c>
      <c r="M40" s="27">
        <f t="shared" ref="M40:M42" si="10">LN(L40/K40)</f>
        <v>1.0414538748281612</v>
      </c>
      <c r="N40" s="28">
        <f t="shared" si="8"/>
        <v>2.5703409499223042</v>
      </c>
      <c r="O40" s="31">
        <v>2.6</v>
      </c>
      <c r="P40" s="29">
        <f t="shared" si="9"/>
        <v>-1.1407326952959984</v>
      </c>
    </row>
    <row r="41" spans="1:16" x14ac:dyDescent="0.3">
      <c r="A41" s="23" t="s">
        <v>69</v>
      </c>
      <c r="B41" s="20">
        <v>230</v>
      </c>
      <c r="C41" s="20">
        <v>1.47</v>
      </c>
      <c r="D41" s="21">
        <v>28</v>
      </c>
      <c r="E41" s="21">
        <f t="shared" si="3"/>
        <v>41.16</v>
      </c>
      <c r="F41" s="24">
        <f t="shared" si="4"/>
        <v>45.901013466611133</v>
      </c>
      <c r="G41" s="25">
        <v>2</v>
      </c>
      <c r="H41" s="24">
        <f t="shared" si="5"/>
        <v>91.802026933222265</v>
      </c>
      <c r="I41" s="24">
        <f t="shared" si="6"/>
        <v>12.566370614359172</v>
      </c>
      <c r="J41" s="30">
        <v>2.75</v>
      </c>
      <c r="K41" s="20">
        <v>600</v>
      </c>
      <c r="L41" s="20">
        <v>1700</v>
      </c>
      <c r="M41" s="27">
        <f t="shared" si="10"/>
        <v>1.0414538748281612</v>
      </c>
      <c r="N41" s="28">
        <f t="shared" si="8"/>
        <v>2.7666215315527349</v>
      </c>
      <c r="O41" s="31">
        <v>2.8</v>
      </c>
      <c r="P41" s="29">
        <f t="shared" si="9"/>
        <v>-1.192088158830884</v>
      </c>
    </row>
    <row r="42" spans="1:16" x14ac:dyDescent="0.3">
      <c r="A42" s="23" t="s">
        <v>70</v>
      </c>
      <c r="B42" s="20">
        <v>230</v>
      </c>
      <c r="C42" s="20">
        <v>1.47</v>
      </c>
      <c r="D42" s="21">
        <v>28</v>
      </c>
      <c r="E42" s="21">
        <f t="shared" si="3"/>
        <v>41.16</v>
      </c>
      <c r="F42" s="24">
        <f t="shared" si="4"/>
        <v>45.901013466611133</v>
      </c>
      <c r="G42" s="25">
        <v>2</v>
      </c>
      <c r="H42" s="24">
        <f t="shared" si="5"/>
        <v>91.802026933222265</v>
      </c>
      <c r="I42" s="24">
        <f t="shared" si="6"/>
        <v>12.566370614359172</v>
      </c>
      <c r="J42" s="30">
        <v>2.58</v>
      </c>
      <c r="K42" s="20">
        <v>600</v>
      </c>
      <c r="L42" s="20">
        <v>1700</v>
      </c>
      <c r="M42" s="27">
        <f t="shared" si="10"/>
        <v>1.0414538748281612</v>
      </c>
      <c r="N42" s="28">
        <f t="shared" si="8"/>
        <v>2.9489182991356668</v>
      </c>
      <c r="O42" s="31">
        <v>3</v>
      </c>
      <c r="P42" s="29">
        <f t="shared" si="9"/>
        <v>-1.7027233621444426</v>
      </c>
    </row>
  </sheetData>
  <phoneticPr fontId="7" type="noConversion"/>
  <pageMargins left="0.7" right="0.7" top="0.75" bottom="0.75" header="0.3" footer="0.3"/>
  <pageSetup paperSize="9" orientation="landscape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Roeland Nieboer</dc:creator>
  <cp:lastModifiedBy>Roeland Nieboer</cp:lastModifiedBy>
  <dcterms:created xsi:type="dcterms:W3CDTF">2026-02-13T10:53:18Z</dcterms:created>
  <dcterms:modified xsi:type="dcterms:W3CDTF">2026-03-19T08:10:47Z</dcterms:modified>
</cp:coreProperties>
</file>