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clones\FusionFiber\modelling\wsf grondwaterstroming\"/>
    </mc:Choice>
  </mc:AlternateContent>
  <xr:revisionPtr revIDLastSave="0" documentId="13_ncr:1_{92816463-BEF9-420C-8C5F-230CC172BC2F}" xr6:coauthVersionLast="47" xr6:coauthVersionMax="47" xr10:uidLastSave="{00000000-0000-0000-0000-000000000000}"/>
  <bookViews>
    <workbookView xWindow="-108" yWindow="-108" windowWidth="23256" windowHeight="13896" xr2:uid="{3632657A-28F7-4C1C-ABB4-32E130E65C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" l="1"/>
  <c r="H19" i="1"/>
  <c r="I19" i="1"/>
  <c r="M26" i="1"/>
  <c r="I26" i="1"/>
  <c r="E26" i="1"/>
  <c r="M25" i="1"/>
  <c r="I25" i="1"/>
  <c r="E25" i="1"/>
  <c r="M24" i="1"/>
  <c r="I24" i="1"/>
  <c r="E24" i="1"/>
  <c r="M23" i="1"/>
  <c r="I23" i="1"/>
  <c r="E23" i="1"/>
  <c r="M22" i="1"/>
  <c r="I22" i="1"/>
  <c r="E22" i="1"/>
  <c r="M21" i="1"/>
  <c r="I21" i="1"/>
  <c r="E21" i="1"/>
  <c r="M20" i="1"/>
  <c r="I20" i="1"/>
  <c r="E20" i="1"/>
  <c r="F20" i="1" s="1"/>
  <c r="M19" i="1"/>
  <c r="E19" i="1"/>
  <c r="B11" i="1"/>
  <c r="N3" i="1"/>
  <c r="B14" i="1"/>
  <c r="B13" i="1"/>
  <c r="B12" i="1"/>
  <c r="N20" i="1" l="1"/>
  <c r="O20" i="1" s="1"/>
  <c r="F19" i="1"/>
  <c r="N19" i="1" s="1"/>
  <c r="O19" i="1" s="1"/>
  <c r="F21" i="1"/>
  <c r="F25" i="1"/>
  <c r="F24" i="1"/>
  <c r="F23" i="1"/>
  <c r="F22" i="1"/>
  <c r="F26" i="1"/>
  <c r="H26" i="1" l="1"/>
  <c r="N26" i="1" s="1"/>
  <c r="O26" i="1" s="1"/>
  <c r="N25" i="1"/>
  <c r="O25" i="1" s="1"/>
  <c r="H25" i="1"/>
  <c r="H24" i="1"/>
  <c r="N24" i="1" s="1"/>
  <c r="O24" i="1" s="1"/>
  <c r="H23" i="1"/>
  <c r="N23" i="1" s="1"/>
  <c r="O23" i="1" s="1"/>
  <c r="H22" i="1"/>
  <c r="N22" i="1" s="1"/>
  <c r="O22" i="1" s="1"/>
  <c r="H21" i="1"/>
  <c r="N21" i="1" s="1"/>
  <c r="O21" i="1" s="1"/>
</calcChain>
</file>

<file path=xl/sharedStrings.xml><?xml version="1.0" encoding="utf-8"?>
<sst xmlns="http://schemas.openxmlformats.org/spreadsheetml/2006/main" count="70" uniqueCount="59">
  <si>
    <t>n</t>
  </si>
  <si>
    <t>rhos</t>
  </si>
  <si>
    <t>km/m3</t>
  </si>
  <si>
    <t>-</t>
  </si>
  <si>
    <t>cs</t>
  </si>
  <si>
    <t>J/kg*K</t>
  </si>
  <si>
    <t>Ks</t>
  </si>
  <si>
    <t>W/m/K</t>
  </si>
  <si>
    <t>rhow</t>
  </si>
  <si>
    <t>cw</t>
  </si>
  <si>
    <t>Kf</t>
  </si>
  <si>
    <t>cb</t>
  </si>
  <si>
    <t>Kb</t>
  </si>
  <si>
    <t>density water</t>
  </si>
  <si>
    <t>specific heat water</t>
  </si>
  <si>
    <t>thermal conductivity water</t>
  </si>
  <si>
    <t>porosity sand</t>
  </si>
  <si>
    <t>particle density sand</t>
  </si>
  <si>
    <t>specific heat sand</t>
  </si>
  <si>
    <t>thermal conductivity sand</t>
  </si>
  <si>
    <t>bulk thermal conductivity</t>
  </si>
  <si>
    <t>rhob</t>
  </si>
  <si>
    <t>cb=n*rhow*cw+(1-n)*rhos*cs</t>
  </si>
  <si>
    <t>Kb=n*Kf+(1-n)*Ks</t>
  </si>
  <si>
    <t>(fit value so that Kb = 1.6)</t>
  </si>
  <si>
    <t>Cb</t>
  </si>
  <si>
    <t>bulk volumetric heat capacity</t>
  </si>
  <si>
    <t>voltage</t>
  </si>
  <si>
    <t>delta T</t>
  </si>
  <si>
    <t>gw100</t>
  </si>
  <si>
    <t>gw101</t>
  </si>
  <si>
    <t>gw102</t>
  </si>
  <si>
    <t>gw103</t>
  </si>
  <si>
    <t>gw104</t>
  </si>
  <si>
    <t>gw105</t>
  </si>
  <si>
    <t>gw106</t>
  </si>
  <si>
    <t>gw107</t>
  </si>
  <si>
    <t>4pi</t>
  </si>
  <si>
    <t>t1</t>
  </si>
  <si>
    <t>t2</t>
  </si>
  <si>
    <t>ln(t2/t1)</t>
  </si>
  <si>
    <t>themal conductivity</t>
  </si>
  <si>
    <t>test_id</t>
  </si>
  <si>
    <t>L_heat</t>
  </si>
  <si>
    <t>V</t>
  </si>
  <si>
    <t>m</t>
  </si>
  <si>
    <t xml:space="preserve">- </t>
  </si>
  <si>
    <t>K</t>
  </si>
  <si>
    <t>Q</t>
  </si>
  <si>
    <t>W/m</t>
  </si>
  <si>
    <t>ohm/m</t>
  </si>
  <si>
    <t xml:space="preserve">R' </t>
  </si>
  <si>
    <t>ohm</t>
  </si>
  <si>
    <t>Qtotal</t>
  </si>
  <si>
    <t>Relative error</t>
  </si>
  <si>
    <t>%</t>
  </si>
  <si>
    <t>ncores</t>
  </si>
  <si>
    <t>s</t>
  </si>
  <si>
    <t>Rtotal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</si>
</sst>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quotePrefix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2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/>
    <xf numFmtId="0" fontId="3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109613</xdr:colOff>
      <xdr:row>0</xdr:row>
      <xdr:rowOff>122505</xdr:rowOff>
    </xdr:from>
    <xdr:to>
      <xdr:col>19</xdr:col>
      <xdr:colOff>308532</xdr:colOff>
      <xdr:row>16</xdr:row>
      <xdr:rowOff>114885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8EE267-C780-20DC-BA22-C07CAA55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7290" y="122505"/>
          <a:ext cx="2637319" cy="289970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16</xdr:col>
      <xdr:colOff>164124</xdr:colOff>
      <xdr:row>17</xdr:row>
      <xdr:rowOff>169984</xdr:rowOff>
    </xdr:from>
    <xdr:to>
      <xdr:col>19</xdr:col>
      <xdr:colOff>572059</xdr:colOff>
      <xdr:row>21</xdr:row>
      <xdr:rowOff>8186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CBAC0E-41AA-C675-7FD2-814656215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/>
        </a:blip>
        <a:srcRect t="21958" b="17123"/>
        <a:stretch>
          <a:fillRect/>
        </a:stretch>
      </xdr:blipFill>
      <xdr:spPr>
        <a:xfrm>
          <a:off x="10591801" y="3259015"/>
          <a:ext cx="2236735" cy="565033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15</xdr:col>
      <xdr:colOff>785447</xdr:colOff>
      <xdr:row>21</xdr:row>
      <xdr:rowOff>169982</xdr:rowOff>
    </xdr:from>
    <xdr:to>
      <xdr:col>20</xdr:col>
      <xdr:colOff>781722</xdr:colOff>
      <xdr:row>27</xdr:row>
      <xdr:rowOff>167554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4FE870E-7C19-4542-9864-B3F6AE74C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2509" y="3985844"/>
          <a:ext cx="3219535" cy="1087818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B2F13E-E38A-4556-AD9E-4A31FC65E5B2}" name="Table134" displayName="Table134" ref="A17:O26" totalsRowShown="0" headerRowDxfId="14">
  <autoFilter ref="A17:O26" xr:uid="{61B2F13E-E38A-4556-AD9E-4A31FC65E5B2}"/>
  <tableColumns count="15">
    <tableColumn id="1" xr3:uid="{D88FD9F6-4197-4562-AEB5-6E64BB7B60DF}" name="test_id"/>
    <tableColumn id="2" xr3:uid="{60857CD5-5FC9-4195-B59E-DCF7E4200979}" name="voltage" dataDxfId="13"/>
    <tableColumn id="3" xr3:uid="{DC49E5D0-E51E-4B30-8721-2B94794996C4}" name="R' " dataDxfId="12"/>
    <tableColumn id="4" xr3:uid="{D3B11A5D-6B20-4BAD-9548-D20A742D41CD}" name="L_heat" dataDxfId="11"/>
    <tableColumn id="5" xr3:uid="{4584E915-A1FB-40E2-8D9A-AF0AA3924EB8}" name="Rtotal" dataDxfId="10"/>
    <tableColumn id="6" xr3:uid="{824832D0-1465-46BF-B1DB-BC3BB2B60BB1}" name="Q" dataDxfId="9">
      <calculatedColumnFormula>#REF!/D18</calculatedColumnFormula>
    </tableColumn>
    <tableColumn id="15" xr3:uid="{EA6FF7B3-D4B1-4528-B1DE-055780E0D12E}" name="ncores" dataDxfId="0"/>
    <tableColumn id="13" xr3:uid="{948E3691-0FA0-4A22-9288-16019CC9AC13}" name="Qtotal" dataDxfId="8"/>
    <tableColumn id="7" xr3:uid="{0EDD676B-B419-4ABD-9D3B-FA77118332A8}" name="4pi" dataDxfId="7">
      <calculatedColumnFormula>4*PI()</calculatedColumnFormula>
    </tableColumn>
    <tableColumn id="8" xr3:uid="{2622F47A-92E3-4F4B-96F1-799116CBCAF1}" name="delta T" dataDxfId="6"/>
    <tableColumn id="9" xr3:uid="{EFB5ABF3-5642-4033-95A1-B6B496ED5777}" name="t1" dataDxfId="5"/>
    <tableColumn id="10" xr3:uid="{801F934D-C1D7-43BB-AFC7-B9E90D9C050B}" name="t2" dataDxfId="4"/>
    <tableColumn id="11" xr3:uid="{41FFD4B4-4283-46A4-8088-6ABC4BE28974}" name="ln(t2/t1)" dataDxfId="3">
      <calculatedColumnFormula>LN(L18/K18)</calculatedColumnFormula>
    </tableColumn>
    <tableColumn id="12" xr3:uid="{592CBC98-0598-4037-9EBB-0C85EDD981BD}" name="themal conductivity" dataDxfId="2">
      <calculatedColumnFormula>(F18/(I18*J18))*M18</calculatedColumnFormula>
    </tableColumn>
    <tableColumn id="14" xr3:uid="{5268CFBE-FCA9-49F7-84B9-D28633D99E4F}" name="Relative error" dataDxfId="1">
      <calculatedColumnFormula>100*((Table134[[#This Row],[themal conductivity]]/1.6)-1)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6DA3-B7D9-4EBD-B1A4-5E6F632602CC}">
  <dimension ref="A1:P26"/>
  <sheetViews>
    <sheetView tabSelected="1" topLeftCell="A10" zoomScale="130" zoomScaleNormal="130" workbookViewId="0">
      <selection activeCell="M32" sqref="M32"/>
    </sheetView>
  </sheetViews>
  <sheetFormatPr defaultRowHeight="14.4" x14ac:dyDescent="0.3"/>
  <cols>
    <col min="11" max="11" width="9.77734375" customWidth="1"/>
    <col min="12" max="12" width="13.21875" customWidth="1"/>
    <col min="13" max="13" width="17.5546875" customWidth="1"/>
    <col min="14" max="14" width="10.6640625" customWidth="1"/>
    <col min="15" max="15" width="12" bestFit="1" customWidth="1"/>
    <col min="21" max="21" width="11.88671875" customWidth="1"/>
    <col min="28" max="28" width="16.5546875" bestFit="1" customWidth="1"/>
  </cols>
  <sheetData>
    <row r="1" spans="1:14" x14ac:dyDescent="0.3">
      <c r="A1" t="s">
        <v>8</v>
      </c>
      <c r="B1">
        <v>999</v>
      </c>
      <c r="C1" t="s">
        <v>2</v>
      </c>
      <c r="D1" t="s">
        <v>13</v>
      </c>
    </row>
    <row r="2" spans="1:14" x14ac:dyDescent="0.3">
      <c r="A2" t="s">
        <v>9</v>
      </c>
      <c r="B2">
        <v>4186</v>
      </c>
      <c r="C2" t="s">
        <v>5</v>
      </c>
      <c r="D2" t="s">
        <v>14</v>
      </c>
      <c r="M2" t="s">
        <v>12</v>
      </c>
      <c r="N2">
        <v>1.6</v>
      </c>
    </row>
    <row r="3" spans="1:14" x14ac:dyDescent="0.3">
      <c r="A3" s="8" t="s">
        <v>10</v>
      </c>
      <c r="B3" s="8">
        <v>0.59099999999999997</v>
      </c>
      <c r="C3" s="8" t="s">
        <v>7</v>
      </c>
      <c r="D3" s="8" t="s">
        <v>15</v>
      </c>
      <c r="E3" s="8"/>
      <c r="F3" s="8"/>
      <c r="G3" s="8"/>
      <c r="M3" t="s">
        <v>6</v>
      </c>
      <c r="N3">
        <f>(N2-B6*B3)/(1-B6)</f>
        <v>2.3011694915254237</v>
      </c>
    </row>
    <row r="6" spans="1:14" x14ac:dyDescent="0.3">
      <c r="A6" t="s">
        <v>0</v>
      </c>
      <c r="B6">
        <v>0.41</v>
      </c>
      <c r="C6" t="s">
        <v>3</v>
      </c>
      <c r="D6" t="s">
        <v>16</v>
      </c>
    </row>
    <row r="7" spans="1:14" x14ac:dyDescent="0.3">
      <c r="A7" t="s">
        <v>1</v>
      </c>
      <c r="B7">
        <v>2650</v>
      </c>
      <c r="C7" t="s">
        <v>2</v>
      </c>
      <c r="D7" t="s">
        <v>17</v>
      </c>
    </row>
    <row r="8" spans="1:14" x14ac:dyDescent="0.3">
      <c r="A8" t="s">
        <v>4</v>
      </c>
      <c r="B8">
        <v>830</v>
      </c>
      <c r="C8" t="s">
        <v>5</v>
      </c>
      <c r="D8" t="s">
        <v>18</v>
      </c>
    </row>
    <row r="9" spans="1:14" x14ac:dyDescent="0.3">
      <c r="A9" s="8" t="s">
        <v>6</v>
      </c>
      <c r="B9" s="8">
        <v>2.3011689999999998</v>
      </c>
      <c r="C9" s="8" t="s">
        <v>7</v>
      </c>
      <c r="D9" s="8" t="s">
        <v>19</v>
      </c>
      <c r="E9" s="8"/>
      <c r="F9" s="8"/>
      <c r="G9" s="8" t="s">
        <v>24</v>
      </c>
      <c r="H9" s="8"/>
      <c r="I9" s="8"/>
    </row>
    <row r="11" spans="1:14" x14ac:dyDescent="0.3">
      <c r="A11" t="s">
        <v>21</v>
      </c>
      <c r="B11">
        <f>B6*B1+(1-B6)*B7</f>
        <v>1973.0900000000001</v>
      </c>
    </row>
    <row r="12" spans="1:14" x14ac:dyDescent="0.3">
      <c r="A12" t="s">
        <v>25</v>
      </c>
      <c r="B12">
        <f>B6*B1*B2+(1-B6)*B7*B8</f>
        <v>3012248.74</v>
      </c>
      <c r="D12" t="s">
        <v>26</v>
      </c>
      <c r="H12" t="s">
        <v>22</v>
      </c>
    </row>
    <row r="13" spans="1:14" x14ac:dyDescent="0.3">
      <c r="A13" t="s">
        <v>11</v>
      </c>
      <c r="B13">
        <f>B6*B2+(1-B6)*B8</f>
        <v>2205.96</v>
      </c>
    </row>
    <row r="14" spans="1:14" x14ac:dyDescent="0.3">
      <c r="A14" t="s">
        <v>12</v>
      </c>
      <c r="B14">
        <f>B6*B3+(1-B6)*B9</f>
        <v>1.5999997100000001</v>
      </c>
      <c r="D14" t="s">
        <v>20</v>
      </c>
      <c r="H14" t="s">
        <v>23</v>
      </c>
    </row>
    <row r="17" spans="1:16" x14ac:dyDescent="0.3">
      <c r="A17" s="2" t="s">
        <v>42</v>
      </c>
      <c r="B17" s="6" t="s">
        <v>27</v>
      </c>
      <c r="C17" s="6" t="s">
        <v>51</v>
      </c>
      <c r="D17" s="6" t="s">
        <v>43</v>
      </c>
      <c r="E17" s="6" t="s">
        <v>58</v>
      </c>
      <c r="F17" s="7" t="s">
        <v>48</v>
      </c>
      <c r="G17" s="7" t="s">
        <v>56</v>
      </c>
      <c r="H17" s="7" t="s">
        <v>53</v>
      </c>
      <c r="I17" s="7" t="s">
        <v>37</v>
      </c>
      <c r="J17" s="7" t="s">
        <v>28</v>
      </c>
      <c r="K17" s="6" t="s">
        <v>38</v>
      </c>
      <c r="L17" s="6" t="s">
        <v>39</v>
      </c>
      <c r="M17" s="7" t="s">
        <v>40</v>
      </c>
      <c r="N17" s="6" t="s">
        <v>41</v>
      </c>
      <c r="O17" s="2" t="s">
        <v>54</v>
      </c>
    </row>
    <row r="18" spans="1:16" s="2" customFormat="1" x14ac:dyDescent="0.3">
      <c r="A18" s="1" t="s">
        <v>3</v>
      </c>
      <c r="B18" s="3" t="s">
        <v>44</v>
      </c>
      <c r="C18" s="3" t="s">
        <v>50</v>
      </c>
      <c r="D18" s="3" t="s">
        <v>45</v>
      </c>
      <c r="E18" s="5" t="s">
        <v>52</v>
      </c>
      <c r="F18" s="3" t="s">
        <v>49</v>
      </c>
      <c r="G18" s="3" t="s">
        <v>3</v>
      </c>
      <c r="H18" s="3" t="s">
        <v>49</v>
      </c>
      <c r="I18" s="4" t="s">
        <v>46</v>
      </c>
      <c r="J18" s="3" t="s">
        <v>47</v>
      </c>
      <c r="K18" s="3" t="s">
        <v>57</v>
      </c>
      <c r="L18" s="3" t="s">
        <v>57</v>
      </c>
      <c r="M18" s="4" t="s">
        <v>3</v>
      </c>
      <c r="N18" s="5" t="s">
        <v>7</v>
      </c>
      <c r="O18" t="s">
        <v>55</v>
      </c>
      <c r="P18"/>
    </row>
    <row r="19" spans="1:16" x14ac:dyDescent="0.3">
      <c r="A19" t="s">
        <v>29</v>
      </c>
      <c r="B19" s="3">
        <v>230</v>
      </c>
      <c r="C19" s="3">
        <v>1.47</v>
      </c>
      <c r="D19" s="5">
        <v>28</v>
      </c>
      <c r="E19" s="5">
        <f>Table134[[#This Row],[R'' ]]*Table134[[#This Row],[L_heat]]</f>
        <v>41.16</v>
      </c>
      <c r="F19" s="9">
        <f>Table134[[#This Row],[voltage]]^2/(Table134[[#This Row],[Rtotal]]*Table134[[#This Row],[L_heat]])</f>
        <v>45.901013466611133</v>
      </c>
      <c r="G19" s="13">
        <v>2</v>
      </c>
      <c r="H19" s="9">
        <f>Table134[[#This Row],[Q]]*Table134[[#This Row],[ncores]]</f>
        <v>91.802026933222265</v>
      </c>
      <c r="I19" s="9">
        <f>4*PI()</f>
        <v>12.566370614359172</v>
      </c>
      <c r="J19" s="14">
        <v>1.81</v>
      </c>
      <c r="K19" s="3">
        <v>600</v>
      </c>
      <c r="L19" s="3">
        <v>1700</v>
      </c>
      <c r="M19" s="10">
        <f>LN(L19/K19)</f>
        <v>1.0414538748281612</v>
      </c>
      <c r="N19" s="11">
        <f>(H19/(I19*J19))*M19</f>
        <v>4.2034305037403428</v>
      </c>
      <c r="O19" s="12">
        <f>100*((Table134[[#This Row],[themal conductivity]]/1.6)-1)</f>
        <v>162.71440648377143</v>
      </c>
    </row>
    <row r="20" spans="1:16" x14ac:dyDescent="0.3">
      <c r="A20" t="s">
        <v>30</v>
      </c>
      <c r="B20" s="3">
        <v>200</v>
      </c>
      <c r="C20" s="3">
        <v>1.47</v>
      </c>
      <c r="D20" s="5">
        <v>28</v>
      </c>
      <c r="E20" s="5">
        <f>Table134[[#This Row],[R'' ]]*Table134[[#This Row],[L_heat]]</f>
        <v>41.16</v>
      </c>
      <c r="F20" s="9">
        <f>Table134[[#This Row],[voltage]]^2/(Table134[[#This Row],[Rtotal]]*Table134[[#This Row],[L_heat]])</f>
        <v>34.70776065528252</v>
      </c>
      <c r="G20" s="13">
        <v>2</v>
      </c>
      <c r="H20" s="9">
        <f>Table134[[#This Row],[Q]]*Table134[[#This Row],[ncores]]</f>
        <v>69.41552131056504</v>
      </c>
      <c r="I20" s="9">
        <f t="shared" ref="I20:I26" si="0">4*PI()</f>
        <v>12.566370614359172</v>
      </c>
      <c r="J20" s="14">
        <v>1.37</v>
      </c>
      <c r="K20" s="3">
        <v>600</v>
      </c>
      <c r="L20" s="3">
        <v>1700</v>
      </c>
      <c r="M20" s="10">
        <f t="shared" ref="M20:M26" si="1">LN(L20/K20)</f>
        <v>1.0414538748281612</v>
      </c>
      <c r="N20" s="11">
        <f t="shared" ref="N20:N26" si="2">(H20/(I20*J20))*M20</f>
        <v>4.199196507262025</v>
      </c>
      <c r="O20" s="12">
        <f>100*((Table134[[#This Row],[themal conductivity]]/1.6)-1)</f>
        <v>162.44978170387654</v>
      </c>
    </row>
    <row r="21" spans="1:16" x14ac:dyDescent="0.3">
      <c r="A21" t="s">
        <v>31</v>
      </c>
      <c r="B21" s="3">
        <v>170</v>
      </c>
      <c r="C21" s="3">
        <v>1.47</v>
      </c>
      <c r="D21" s="5">
        <v>28</v>
      </c>
      <c r="E21" s="5">
        <f>Table134[[#This Row],[R'' ]]*Table134[[#This Row],[L_heat]]</f>
        <v>41.16</v>
      </c>
      <c r="F21" s="9">
        <f>Table134[[#This Row],[voltage]]^2/(Table134[[#This Row],[Rtotal]]*Table134[[#This Row],[L_heat]])</f>
        <v>25.076357073441621</v>
      </c>
      <c r="G21" s="13">
        <v>2</v>
      </c>
      <c r="H21" s="9">
        <f>Table134[[#This Row],[Q]]*Table134[[#This Row],[ncores]]</f>
        <v>50.152714146883241</v>
      </c>
      <c r="I21" s="9">
        <f t="shared" si="0"/>
        <v>12.566370614359172</v>
      </c>
      <c r="J21" s="14">
        <v>0.99</v>
      </c>
      <c r="K21" s="3">
        <v>600</v>
      </c>
      <c r="L21" s="3">
        <v>1700</v>
      </c>
      <c r="M21" s="10">
        <f t="shared" si="1"/>
        <v>1.0414538748281612</v>
      </c>
      <c r="N21" s="11">
        <f t="shared" si="2"/>
        <v>4.1984542250511456</v>
      </c>
      <c r="O21" s="12">
        <f>100*((Table134[[#This Row],[themal conductivity]]/1.6)-1)</f>
        <v>162.40338906569659</v>
      </c>
    </row>
    <row r="22" spans="1:16" x14ac:dyDescent="0.3">
      <c r="A22" t="s">
        <v>32</v>
      </c>
      <c r="B22" s="3">
        <v>140</v>
      </c>
      <c r="C22" s="3">
        <v>1.47</v>
      </c>
      <c r="D22" s="5">
        <v>28</v>
      </c>
      <c r="E22" s="5">
        <f>Table134[[#This Row],[R'' ]]*Table134[[#This Row],[L_heat]]</f>
        <v>41.16</v>
      </c>
      <c r="F22" s="9">
        <f>Table134[[#This Row],[voltage]]^2/(Table134[[#This Row],[Rtotal]]*Table134[[#This Row],[L_heat]])</f>
        <v>17.006802721088434</v>
      </c>
      <c r="G22" s="13">
        <v>2</v>
      </c>
      <c r="H22" s="9">
        <f>Table134[[#This Row],[Q]]*Table134[[#This Row],[ncores]]</f>
        <v>34.013605442176868</v>
      </c>
      <c r="I22" s="9">
        <f t="shared" si="0"/>
        <v>12.566370614359172</v>
      </c>
      <c r="J22" s="14">
        <v>0.67</v>
      </c>
      <c r="K22" s="3">
        <v>600</v>
      </c>
      <c r="L22" s="3">
        <v>1700</v>
      </c>
      <c r="M22" s="10">
        <f t="shared" si="1"/>
        <v>1.0414538748281612</v>
      </c>
      <c r="N22" s="11">
        <f t="shared" si="2"/>
        <v>4.2073442019776088</v>
      </c>
      <c r="O22" s="12">
        <f>100*((Table134[[#This Row],[themal conductivity]]/1.6)-1)</f>
        <v>162.95901262360056</v>
      </c>
    </row>
    <row r="23" spans="1:16" x14ac:dyDescent="0.3">
      <c r="A23" t="s">
        <v>33</v>
      </c>
      <c r="B23" s="3">
        <v>110</v>
      </c>
      <c r="C23" s="3">
        <v>1.47</v>
      </c>
      <c r="D23" s="5">
        <v>28</v>
      </c>
      <c r="E23" s="5">
        <f>Table134[[#This Row],[R'' ]]*Table134[[#This Row],[L_heat]]</f>
        <v>41.16</v>
      </c>
      <c r="F23" s="9">
        <f>Table134[[#This Row],[voltage]]^2/(Table134[[#This Row],[Rtotal]]*Table134[[#This Row],[L_heat]])</f>
        <v>10.499097598222962</v>
      </c>
      <c r="G23" s="13">
        <v>2</v>
      </c>
      <c r="H23" s="9">
        <f>Table134[[#This Row],[Q]]*Table134[[#This Row],[ncores]]</f>
        <v>20.998195196445923</v>
      </c>
      <c r="I23" s="9">
        <f t="shared" si="0"/>
        <v>12.566370614359172</v>
      </c>
      <c r="J23" s="14">
        <v>0.41</v>
      </c>
      <c r="K23" s="3">
        <v>600</v>
      </c>
      <c r="L23" s="3">
        <v>1700</v>
      </c>
      <c r="M23" s="10">
        <f t="shared" si="1"/>
        <v>1.0414538748281612</v>
      </c>
      <c r="N23" s="11">
        <f t="shared" si="2"/>
        <v>4.2445171037123544</v>
      </c>
      <c r="O23" s="12">
        <f>100*((Table134[[#This Row],[themal conductivity]]/1.6)-1)</f>
        <v>165.28231898202216</v>
      </c>
    </row>
    <row r="24" spans="1:16" x14ac:dyDescent="0.3">
      <c r="A24" t="s">
        <v>34</v>
      </c>
      <c r="B24" s="3">
        <v>80</v>
      </c>
      <c r="C24" s="3">
        <v>1.47</v>
      </c>
      <c r="D24" s="5">
        <v>28</v>
      </c>
      <c r="E24" s="5">
        <f>Table134[[#This Row],[R'' ]]*Table134[[#This Row],[L_heat]]</f>
        <v>41.16</v>
      </c>
      <c r="F24" s="9">
        <f>Table134[[#This Row],[voltage]]^2/(Table134[[#This Row],[Rtotal]]*Table134[[#This Row],[L_heat]])</f>
        <v>5.5532417048452034</v>
      </c>
      <c r="G24" s="13">
        <v>2</v>
      </c>
      <c r="H24" s="9">
        <f>Table134[[#This Row],[Q]]*Table134[[#This Row],[ncores]]</f>
        <v>11.106483409690407</v>
      </c>
      <c r="I24" s="9">
        <f t="shared" si="0"/>
        <v>12.566370614359172</v>
      </c>
      <c r="J24" s="14">
        <v>0.22</v>
      </c>
      <c r="K24" s="3">
        <v>600</v>
      </c>
      <c r="L24" s="3">
        <v>1700</v>
      </c>
      <c r="M24" s="10">
        <f t="shared" si="1"/>
        <v>1.0414538748281612</v>
      </c>
      <c r="N24" s="11">
        <f t="shared" si="2"/>
        <v>4.1839267017810737</v>
      </c>
      <c r="O24" s="12">
        <f>100*((Table134[[#This Row],[themal conductivity]]/1.6)-1)</f>
        <v>161.49541886131709</v>
      </c>
    </row>
    <row r="25" spans="1:16" x14ac:dyDescent="0.3">
      <c r="A25" t="s">
        <v>35</v>
      </c>
      <c r="B25" s="3">
        <v>50</v>
      </c>
      <c r="C25" s="3">
        <v>1.47</v>
      </c>
      <c r="D25" s="5">
        <v>28</v>
      </c>
      <c r="E25" s="5">
        <f>Table134[[#This Row],[R'' ]]*Table134[[#This Row],[L_heat]]</f>
        <v>41.16</v>
      </c>
      <c r="F25" s="9">
        <f>Table134[[#This Row],[voltage]]^2/(Table134[[#This Row],[Rtotal]]*Table134[[#This Row],[L_heat]])</f>
        <v>2.1692350409551575</v>
      </c>
      <c r="G25" s="13">
        <v>2</v>
      </c>
      <c r="H25" s="9">
        <f>Table134[[#This Row],[Q]]*Table134[[#This Row],[ncores]]</f>
        <v>4.338470081910315</v>
      </c>
      <c r="I25" s="9">
        <f t="shared" si="0"/>
        <v>12.566370614359172</v>
      </c>
      <c r="J25" s="14">
        <v>0.09</v>
      </c>
      <c r="K25" s="3">
        <v>600</v>
      </c>
      <c r="L25" s="3">
        <v>1700</v>
      </c>
      <c r="M25" s="10">
        <f t="shared" si="1"/>
        <v>1.0414538748281612</v>
      </c>
      <c r="N25" s="11">
        <f t="shared" si="2"/>
        <v>3.9950688992701218</v>
      </c>
      <c r="O25" s="12">
        <f>100*((Table134[[#This Row],[themal conductivity]]/1.6)-1)</f>
        <v>149.6918062043826</v>
      </c>
    </row>
    <row r="26" spans="1:16" x14ac:dyDescent="0.3">
      <c r="A26" t="s">
        <v>36</v>
      </c>
      <c r="B26" s="3">
        <v>20</v>
      </c>
      <c r="C26" s="3">
        <v>1.47</v>
      </c>
      <c r="D26" s="5">
        <v>28</v>
      </c>
      <c r="E26" s="5">
        <f>Table134[[#This Row],[R'' ]]*Table134[[#This Row],[L_heat]]</f>
        <v>41.16</v>
      </c>
      <c r="F26" s="9">
        <f>Table134[[#This Row],[voltage]]^2/(Table134[[#This Row],[Rtotal]]*Table134[[#This Row],[L_heat]])</f>
        <v>0.34707760655282521</v>
      </c>
      <c r="G26" s="13">
        <v>2</v>
      </c>
      <c r="H26" s="9">
        <f>Table134[[#This Row],[Q]]*Table134[[#This Row],[ncores]]</f>
        <v>0.69415521310565043</v>
      </c>
      <c r="I26" s="9">
        <f t="shared" si="0"/>
        <v>12.566370614359172</v>
      </c>
      <c r="J26" s="14">
        <v>0.01</v>
      </c>
      <c r="K26" s="3">
        <v>600</v>
      </c>
      <c r="L26" s="3">
        <v>1700</v>
      </c>
      <c r="M26" s="10">
        <f t="shared" si="1"/>
        <v>1.0414538748281612</v>
      </c>
      <c r="N26" s="11">
        <f t="shared" si="2"/>
        <v>5.7528992149489753</v>
      </c>
      <c r="O26" s="12">
        <f>100*((Table134[[#This Row],[themal conductivity]]/1.6)-1)</f>
        <v>259.55620093431094</v>
      </c>
    </row>
  </sheetData>
  <pageMargins left="0.7" right="0.7" top="0.75" bottom="0.75" header="0.3" footer="0.3"/>
  <pageSetup paperSize="9" orientation="landscape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Roeland Nieboer</dc:creator>
  <cp:lastModifiedBy>Roeland Nieboer</cp:lastModifiedBy>
  <dcterms:created xsi:type="dcterms:W3CDTF">2026-02-13T10:53:18Z</dcterms:created>
  <dcterms:modified xsi:type="dcterms:W3CDTF">2026-02-28T17:19:07Z</dcterms:modified>
</cp:coreProperties>
</file>