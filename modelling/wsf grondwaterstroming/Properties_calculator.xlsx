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clones\FusionFiber\modelling\wsf grondwaterstroming\"/>
    </mc:Choice>
  </mc:AlternateContent>
  <xr:revisionPtr revIDLastSave="0" documentId="13_ncr:1_{012190B6-7363-4BCB-B6D4-27518E579325}" xr6:coauthVersionLast="47" xr6:coauthVersionMax="47" xr10:uidLastSave="{00000000-0000-0000-0000-000000000000}"/>
  <bookViews>
    <workbookView xWindow="-108" yWindow="-108" windowWidth="23256" windowHeight="13896" xr2:uid="{3632657A-28F7-4C1C-ABB4-32E130E65C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B14" i="1"/>
  <c r="B13" i="1"/>
  <c r="B12" i="1"/>
</calcChain>
</file>

<file path=xl/sharedStrings.xml><?xml version="1.0" encoding="utf-8"?>
<sst xmlns="http://schemas.openxmlformats.org/spreadsheetml/2006/main" count="32" uniqueCount="27">
  <si>
    <t>n</t>
  </si>
  <si>
    <t>rhos</t>
  </si>
  <si>
    <t>km/m3</t>
  </si>
  <si>
    <t>-</t>
  </si>
  <si>
    <t>cs</t>
  </si>
  <si>
    <t>J/kg*K</t>
  </si>
  <si>
    <t>Ks</t>
  </si>
  <si>
    <t>W/m/K</t>
  </si>
  <si>
    <t>rhow</t>
  </si>
  <si>
    <t>cw</t>
  </si>
  <si>
    <t>Kf</t>
  </si>
  <si>
    <t>cb</t>
  </si>
  <si>
    <t>Kb</t>
  </si>
  <si>
    <t>density water</t>
  </si>
  <si>
    <t>specific heat water</t>
  </si>
  <si>
    <t>thermal conductivity water</t>
  </si>
  <si>
    <t>porosity sand</t>
  </si>
  <si>
    <t>particle density sand</t>
  </si>
  <si>
    <t>specific heat sand</t>
  </si>
  <si>
    <t>thermal conductivity sand</t>
  </si>
  <si>
    <t>bulk thermal conductivity</t>
  </si>
  <si>
    <t>rhob</t>
  </si>
  <si>
    <t>cb=n*rhow*cw+(1-n)*rhos*cs</t>
  </si>
  <si>
    <t>Kb=n*Kf+(1-n)*Ks</t>
  </si>
  <si>
    <t>(fit value so that Kb = 1.6)</t>
  </si>
  <si>
    <t>Cb</t>
  </si>
  <si>
    <t>bulk volumetric heat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</si>
</sst>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6DA3-B7D9-4EBD-B1A4-5E6F632602CC}">
  <dimension ref="A1:N14"/>
  <sheetViews>
    <sheetView tabSelected="1" workbookViewId="0">
      <selection activeCell="C20" sqref="C20"/>
    </sheetView>
  </sheetViews>
  <sheetFormatPr defaultRowHeight="14.4" x14ac:dyDescent="0.3"/>
  <sheetData>
    <row r="1" spans="1:14" x14ac:dyDescent="0.3">
      <c r="A1" t="s">
        <v>8</v>
      </c>
      <c r="B1">
        <v>999</v>
      </c>
      <c r="C1" t="s">
        <v>2</v>
      </c>
      <c r="D1" t="s">
        <v>13</v>
      </c>
    </row>
    <row r="2" spans="1:14" x14ac:dyDescent="0.3">
      <c r="A2" t="s">
        <v>9</v>
      </c>
      <c r="B2">
        <v>4186</v>
      </c>
      <c r="C2" t="s">
        <v>5</v>
      </c>
      <c r="D2" t="s">
        <v>14</v>
      </c>
      <c r="M2" t="s">
        <v>12</v>
      </c>
      <c r="N2">
        <v>1.6</v>
      </c>
    </row>
    <row r="3" spans="1:14" x14ac:dyDescent="0.3">
      <c r="A3" t="s">
        <v>10</v>
      </c>
      <c r="B3">
        <v>0.59099999999999997</v>
      </c>
      <c r="C3" t="s">
        <v>7</v>
      </c>
      <c r="D3" t="s">
        <v>15</v>
      </c>
      <c r="M3" t="s">
        <v>6</v>
      </c>
      <c r="N3">
        <f>(N2-B6*B3)/(1-B6)</f>
        <v>2.3011694915254237</v>
      </c>
    </row>
    <row r="6" spans="1:14" x14ac:dyDescent="0.3">
      <c r="A6" t="s">
        <v>0</v>
      </c>
      <c r="B6">
        <v>0.41</v>
      </c>
      <c r="C6" t="s">
        <v>3</v>
      </c>
      <c r="D6" t="s">
        <v>16</v>
      </c>
    </row>
    <row r="7" spans="1:14" x14ac:dyDescent="0.3">
      <c r="A7" t="s">
        <v>1</v>
      </c>
      <c r="B7">
        <v>2650</v>
      </c>
      <c r="C7" t="s">
        <v>2</v>
      </c>
      <c r="D7" t="s">
        <v>17</v>
      </c>
    </row>
    <row r="8" spans="1:14" x14ac:dyDescent="0.3">
      <c r="A8" t="s">
        <v>4</v>
      </c>
      <c r="B8">
        <v>830</v>
      </c>
      <c r="C8" t="s">
        <v>5</v>
      </c>
      <c r="D8" t="s">
        <v>18</v>
      </c>
    </row>
    <row r="9" spans="1:14" x14ac:dyDescent="0.3">
      <c r="A9" t="s">
        <v>6</v>
      </c>
      <c r="B9">
        <v>2.3011689999999998</v>
      </c>
      <c r="C9" t="s">
        <v>7</v>
      </c>
      <c r="D9" t="s">
        <v>19</v>
      </c>
      <c r="G9" t="s">
        <v>24</v>
      </c>
    </row>
    <row r="11" spans="1:14" x14ac:dyDescent="0.3">
      <c r="A11" t="s">
        <v>21</v>
      </c>
    </row>
    <row r="12" spans="1:14" x14ac:dyDescent="0.3">
      <c r="A12" t="s">
        <v>25</v>
      </c>
      <c r="B12">
        <f>B6*B1*B2+(1-B6)*B7*B8</f>
        <v>3012248.74</v>
      </c>
      <c r="D12" t="s">
        <v>26</v>
      </c>
      <c r="H12" t="s">
        <v>22</v>
      </c>
    </row>
    <row r="13" spans="1:14" x14ac:dyDescent="0.3">
      <c r="A13" t="s">
        <v>11</v>
      </c>
      <c r="B13">
        <f>B6*B2+(1-B6)*B8</f>
        <v>2205.96</v>
      </c>
    </row>
    <row r="14" spans="1:14" x14ac:dyDescent="0.3">
      <c r="A14" t="s">
        <v>12</v>
      </c>
      <c r="B14">
        <f>B6*B3+(1-B6)*B9</f>
        <v>1.5999997100000001</v>
      </c>
      <c r="D14" t="s">
        <v>20</v>
      </c>
      <c r="H14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Roeland Nieboer</dc:creator>
  <cp:lastModifiedBy>Roeland Nieboer</cp:lastModifiedBy>
  <dcterms:created xsi:type="dcterms:W3CDTF">2026-02-13T10:53:18Z</dcterms:created>
  <dcterms:modified xsi:type="dcterms:W3CDTF">2026-02-13T11:54:50Z</dcterms:modified>
</cp:coreProperties>
</file>