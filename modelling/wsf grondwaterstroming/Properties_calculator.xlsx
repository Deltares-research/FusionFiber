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clones\FusionFiber\modelling\wsf grondwaterstroming\"/>
    </mc:Choice>
  </mc:AlternateContent>
  <xr:revisionPtr revIDLastSave="0" documentId="13_ncr:1_{39A5E89D-9978-40EF-B581-F2AB60EB0B68}" xr6:coauthVersionLast="47" xr6:coauthVersionMax="47" xr10:uidLastSave="{00000000-0000-0000-0000-000000000000}"/>
  <bookViews>
    <workbookView xWindow="-4956" yWindow="-21708" windowWidth="38616" windowHeight="21096" xr2:uid="{3632657A-28F7-4C1C-ABB4-32E130E65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L34" i="1" s="1"/>
  <c r="F36" i="1"/>
  <c r="F39" i="1"/>
  <c r="F40" i="1"/>
  <c r="E34" i="1"/>
  <c r="E35" i="1"/>
  <c r="F35" i="1" s="1"/>
  <c r="L35" i="1" s="1"/>
  <c r="E36" i="1"/>
  <c r="E37" i="1"/>
  <c r="F37" i="1" s="1"/>
  <c r="E38" i="1"/>
  <c r="F38" i="1" s="1"/>
  <c r="E39" i="1"/>
  <c r="E40" i="1"/>
  <c r="E33" i="1"/>
  <c r="F33" i="1" s="1"/>
  <c r="L33" i="1" s="1"/>
  <c r="B34" i="1"/>
  <c r="B35" i="1"/>
  <c r="B36" i="1"/>
  <c r="B37" i="1"/>
  <c r="B38" i="1"/>
  <c r="B39" i="1"/>
  <c r="B40" i="1"/>
  <c r="B33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F24" i="1"/>
  <c r="L24" i="1" s="1"/>
  <c r="F26" i="1"/>
  <c r="F27" i="1"/>
  <c r="F20" i="1"/>
  <c r="K21" i="1"/>
  <c r="K22" i="1"/>
  <c r="K23" i="1"/>
  <c r="K24" i="1"/>
  <c r="K25" i="1"/>
  <c r="K26" i="1"/>
  <c r="K27" i="1"/>
  <c r="K20" i="1"/>
  <c r="G21" i="1"/>
  <c r="G22" i="1"/>
  <c r="G23" i="1"/>
  <c r="G24" i="1"/>
  <c r="G25" i="1"/>
  <c r="G26" i="1"/>
  <c r="G27" i="1"/>
  <c r="G20" i="1"/>
  <c r="D22" i="1"/>
  <c r="F22" i="1" s="1"/>
  <c r="L22" i="1" s="1"/>
  <c r="D23" i="1"/>
  <c r="F23" i="1" s="1"/>
  <c r="L23" i="1" s="1"/>
  <c r="D24" i="1"/>
  <c r="D25" i="1"/>
  <c r="F25" i="1" s="1"/>
  <c r="L25" i="1" s="1"/>
  <c r="D26" i="1"/>
  <c r="D27" i="1"/>
  <c r="D20" i="1"/>
  <c r="D21" i="1"/>
  <c r="F21" i="1" s="1"/>
  <c r="B11" i="1"/>
  <c r="N3" i="1"/>
  <c r="B14" i="1"/>
  <c r="B13" i="1"/>
  <c r="B12" i="1"/>
  <c r="L40" i="1" l="1"/>
  <c r="L38" i="1"/>
  <c r="L37" i="1"/>
  <c r="L36" i="1"/>
  <c r="L39" i="1"/>
  <c r="L26" i="1"/>
  <c r="L27" i="1"/>
  <c r="L21" i="1"/>
  <c r="L20" i="1"/>
</calcChain>
</file>

<file path=xl/sharedStrings.xml><?xml version="1.0" encoding="utf-8"?>
<sst xmlns="http://schemas.openxmlformats.org/spreadsheetml/2006/main" count="97" uniqueCount="60">
  <si>
    <t>n</t>
  </si>
  <si>
    <t>rhos</t>
  </si>
  <si>
    <t>km/m3</t>
  </si>
  <si>
    <t>-</t>
  </si>
  <si>
    <t>cs</t>
  </si>
  <si>
    <t>J/kg*K</t>
  </si>
  <si>
    <t>Ks</t>
  </si>
  <si>
    <t>W/m/K</t>
  </si>
  <si>
    <t>rhow</t>
  </si>
  <si>
    <t>cw</t>
  </si>
  <si>
    <t>Kf</t>
  </si>
  <si>
    <t>cb</t>
  </si>
  <si>
    <t>Kb</t>
  </si>
  <si>
    <t>density water</t>
  </si>
  <si>
    <t>specific heat water</t>
  </si>
  <si>
    <t>thermal conductivity water</t>
  </si>
  <si>
    <t>porosity sand</t>
  </si>
  <si>
    <t>particle density sand</t>
  </si>
  <si>
    <t>specific heat sand</t>
  </si>
  <si>
    <t>thermal conductivity sand</t>
  </si>
  <si>
    <t>bulk thermal conductivity</t>
  </si>
  <si>
    <t>rhob</t>
  </si>
  <si>
    <t>cb=n*rhow*cw+(1-n)*rhos*cs</t>
  </si>
  <si>
    <t>Kb=n*Kf+(1-n)*Ks</t>
  </si>
  <si>
    <t>(fit value so that Kb = 1.6)</t>
  </si>
  <si>
    <t>Cb</t>
  </si>
  <si>
    <t>bulk volumetric heat capacity</t>
  </si>
  <si>
    <t>voltage</t>
  </si>
  <si>
    <t>current</t>
  </si>
  <si>
    <t>power</t>
  </si>
  <si>
    <t>delta T</t>
  </si>
  <si>
    <t>gw100</t>
  </si>
  <si>
    <t>gw101</t>
  </si>
  <si>
    <t>gw102</t>
  </si>
  <si>
    <t>gw103</t>
  </si>
  <si>
    <t>gw104</t>
  </si>
  <si>
    <t>gw105</t>
  </si>
  <si>
    <t>gw106</t>
  </si>
  <si>
    <t>gw107</t>
  </si>
  <si>
    <t>4pi</t>
  </si>
  <si>
    <t>t1</t>
  </si>
  <si>
    <t>t2</t>
  </si>
  <si>
    <t>ln(t2/t1)</t>
  </si>
  <si>
    <t>themal conductivity</t>
  </si>
  <si>
    <t>test_id</t>
  </si>
  <si>
    <t>L_heat</t>
  </si>
  <si>
    <t>V</t>
  </si>
  <si>
    <t>A</t>
  </si>
  <si>
    <t>W</t>
  </si>
  <si>
    <t>m</t>
  </si>
  <si>
    <t xml:space="preserve">- </t>
  </si>
  <si>
    <t>K</t>
  </si>
  <si>
    <t>W/m/K?</t>
  </si>
  <si>
    <t>Q</t>
  </si>
  <si>
    <t>W/m</t>
  </si>
  <si>
    <t>all wrong</t>
  </si>
  <si>
    <t>ohm/m</t>
  </si>
  <si>
    <t xml:space="preserve">R' </t>
  </si>
  <si>
    <t>R</t>
  </si>
  <si>
    <t>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</si>
</sst>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14A65-3CC2-47DC-BD41-E5B04B08ED26}" name="Table1" displayName="Table1" ref="A18:L27" totalsRowShown="0" headerRowDxfId="2" dataDxfId="1">
  <autoFilter ref="A18:L27" xr:uid="{ADD14A65-3CC2-47DC-BD41-E5B04B08ED26}"/>
  <tableColumns count="12">
    <tableColumn id="1" xr3:uid="{5E3D2BCB-EC8D-4572-9893-B19CF83CF613}" name="test_id" dataDxfId="14"/>
    <tableColumn id="2" xr3:uid="{51100845-C0A2-4E71-A332-2D3FBC264EE5}" name="voltage" dataDxfId="13"/>
    <tableColumn id="3" xr3:uid="{C210A0F9-C325-48B5-BECD-0EA8142E4CB8}" name="current" dataDxfId="12"/>
    <tableColumn id="4" xr3:uid="{B2A9C5D3-2651-4183-BAC3-353109AC77F1}" name="power" dataDxfId="11">
      <calculatedColumnFormula>B19*C19</calculatedColumnFormula>
    </tableColumn>
    <tableColumn id="5" xr3:uid="{F9E856D5-69F4-4695-AB1C-DB9CC68B1080}" name="L_heat" dataDxfId="10"/>
    <tableColumn id="6" xr3:uid="{8088FFE0-4EC8-4010-9E5D-32D92B9724E5}" name="Q" dataDxfId="9">
      <calculatedColumnFormula>D19/E19</calculatedColumnFormula>
    </tableColumn>
    <tableColumn id="7" xr3:uid="{749E0988-5F8A-431D-9759-B1C44812C2FF}" name="4pi" dataDxfId="8">
      <calculatedColumnFormula>4*PI()</calculatedColumnFormula>
    </tableColumn>
    <tableColumn id="8" xr3:uid="{E258EE88-5073-4976-BEB5-BCAB4E6CE986}" name="delta T" dataDxfId="7"/>
    <tableColumn id="9" xr3:uid="{4F541334-0B47-4F5A-8E94-823A36DE1DC3}" name="t1" dataDxfId="6"/>
    <tableColumn id="10" xr3:uid="{D453985D-2954-4900-ABE6-3B7D92D6C1DA}" name="t2" dataDxfId="5"/>
    <tableColumn id="11" xr3:uid="{5878AD62-191D-4951-9EDD-F6E1C8D1654F}" name="ln(t2/t1)" dataDxfId="4">
      <calculatedColumnFormula>LN(J19/I19)</calculatedColumnFormula>
    </tableColumn>
    <tableColumn id="12" xr3:uid="{CAD6440C-D430-4128-B544-44F61AA11D25}" name="themal conductivity" dataDxfId="3">
      <calculatedColumnFormula>(F19/(G19*H19))*K19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13E9C-D3BC-469C-AFBA-D7793CCD3051}" name="Table13" displayName="Table13" ref="A31:L40" totalsRowShown="0" headerRowDxfId="25">
  <autoFilter ref="A31:L40" xr:uid="{14413E9C-D3BC-469C-AFBA-D7793CCD3051}"/>
  <tableColumns count="12">
    <tableColumn id="1" xr3:uid="{64E88E43-5206-4027-BDAE-A5F8805B00CF}" name="test_id"/>
    <tableColumn id="2" xr3:uid="{CF88E80E-BAC6-4641-9545-9C624AA4F792}" name="voltage" dataDxfId="24"/>
    <tableColumn id="3" xr3:uid="{E2F2D6D4-FD7E-4CE4-80B6-8F482E6E1094}" name="R' " dataDxfId="23"/>
    <tableColumn id="4" xr3:uid="{9E02D136-963E-481F-9ED5-335BBA71D8F0}" name="L_heat" dataDxfId="0"/>
    <tableColumn id="5" xr3:uid="{E536B8C0-C0B7-4A02-8311-D758ADD282CF}" name="R" dataDxfId="22"/>
    <tableColumn id="6" xr3:uid="{6EA2D111-3F7A-4738-85F7-A6E6D9EC4081}" name="Q" dataDxfId="21">
      <calculatedColumnFormula>#REF!/D32</calculatedColumnFormula>
    </tableColumn>
    <tableColumn id="7" xr3:uid="{CC757BB1-4AA7-4BA8-B48F-6F5E73B48840}" name="4pi" dataDxfId="20">
      <calculatedColumnFormula>4*PI()</calculatedColumnFormula>
    </tableColumn>
    <tableColumn id="8" xr3:uid="{FDE5B33B-B9B1-4A21-818A-E99692FC8770}" name="delta T" dataDxfId="19"/>
    <tableColumn id="9" xr3:uid="{7F3B899A-BBB7-43B4-82C7-C03DDBAED540}" name="t1" dataDxfId="18"/>
    <tableColumn id="10" xr3:uid="{4FD5B21F-8D5F-4DD4-9DF8-B7C4003BBBBF}" name="t2" dataDxfId="17"/>
    <tableColumn id="11" xr3:uid="{0E9D6543-0BD4-44EA-BC52-6EF7A9801AE7}" name="ln(t2/t1)" dataDxfId="16">
      <calculatedColumnFormula>LN(J32/I32)</calculatedColumnFormula>
    </tableColumn>
    <tableColumn id="12" xr3:uid="{2273EBAF-9CCB-4689-B4E0-67B7636BF857}" name="themal conductivity" dataDxfId="15">
      <calculatedColumnFormula>(F32/(G32*H32))*K32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6DA3-B7D9-4EBD-B1A4-5E6F632602CC}">
  <dimension ref="A1:N40"/>
  <sheetViews>
    <sheetView tabSelected="1" workbookViewId="0">
      <selection activeCell="O9" sqref="O9"/>
    </sheetView>
  </sheetViews>
  <sheetFormatPr defaultRowHeight="14.4" x14ac:dyDescent="0.3"/>
  <cols>
    <col min="11" max="11" width="9.77734375" customWidth="1"/>
    <col min="12" max="12" width="22.33203125" customWidth="1"/>
    <col min="15" max="15" width="12" bestFit="1" customWidth="1"/>
    <col min="21" max="21" width="11.88671875" customWidth="1"/>
    <col min="28" max="28" width="16.5546875" bestFit="1" customWidth="1"/>
  </cols>
  <sheetData>
    <row r="1" spans="1:14" x14ac:dyDescent="0.3">
      <c r="A1" t="s">
        <v>8</v>
      </c>
      <c r="B1">
        <v>999</v>
      </c>
      <c r="C1" t="s">
        <v>2</v>
      </c>
      <c r="D1" t="s">
        <v>13</v>
      </c>
    </row>
    <row r="2" spans="1:14" x14ac:dyDescent="0.3">
      <c r="A2" t="s">
        <v>9</v>
      </c>
      <c r="B2">
        <v>4186</v>
      </c>
      <c r="C2" t="s">
        <v>5</v>
      </c>
      <c r="D2" t="s">
        <v>14</v>
      </c>
      <c r="M2" t="s">
        <v>12</v>
      </c>
      <c r="N2">
        <v>1.6</v>
      </c>
    </row>
    <row r="3" spans="1:14" x14ac:dyDescent="0.3">
      <c r="A3" t="s">
        <v>10</v>
      </c>
      <c r="B3">
        <v>0.59099999999999997</v>
      </c>
      <c r="C3" t="s">
        <v>7</v>
      </c>
      <c r="D3" t="s">
        <v>15</v>
      </c>
      <c r="M3" t="s">
        <v>6</v>
      </c>
      <c r="N3">
        <f>(N2-B6*B3)/(1-B6)</f>
        <v>2.3011694915254237</v>
      </c>
    </row>
    <row r="6" spans="1:14" x14ac:dyDescent="0.3">
      <c r="A6" t="s">
        <v>0</v>
      </c>
      <c r="B6">
        <v>0.41</v>
      </c>
      <c r="C6" t="s">
        <v>3</v>
      </c>
      <c r="D6" t="s">
        <v>16</v>
      </c>
    </row>
    <row r="7" spans="1:14" x14ac:dyDescent="0.3">
      <c r="A7" t="s">
        <v>1</v>
      </c>
      <c r="B7">
        <v>2650</v>
      </c>
      <c r="C7" t="s">
        <v>2</v>
      </c>
      <c r="D7" t="s">
        <v>17</v>
      </c>
    </row>
    <row r="8" spans="1:14" x14ac:dyDescent="0.3">
      <c r="A8" t="s">
        <v>4</v>
      </c>
      <c r="B8">
        <v>830</v>
      </c>
      <c r="C8" t="s">
        <v>5</v>
      </c>
      <c r="D8" t="s">
        <v>18</v>
      </c>
    </row>
    <row r="9" spans="1:14" x14ac:dyDescent="0.3">
      <c r="A9" t="s">
        <v>6</v>
      </c>
      <c r="B9">
        <v>2.3011689999999998</v>
      </c>
      <c r="C9" t="s">
        <v>7</v>
      </c>
      <c r="D9" t="s">
        <v>19</v>
      </c>
      <c r="G9" t="s">
        <v>24</v>
      </c>
    </row>
    <row r="11" spans="1:14" x14ac:dyDescent="0.3">
      <c r="A11" t="s">
        <v>21</v>
      </c>
      <c r="B11">
        <f>B6*B1+(1-B6)*B7</f>
        <v>1973.0900000000001</v>
      </c>
    </row>
    <row r="12" spans="1:14" x14ac:dyDescent="0.3">
      <c r="A12" t="s">
        <v>25</v>
      </c>
      <c r="B12">
        <f>B6*B1*B2+(1-B6)*B7*B8</f>
        <v>3012248.74</v>
      </c>
      <c r="D12" t="s">
        <v>26</v>
      </c>
      <c r="H12" t="s">
        <v>22</v>
      </c>
    </row>
    <row r="13" spans="1:14" x14ac:dyDescent="0.3">
      <c r="A13" t="s">
        <v>11</v>
      </c>
      <c r="B13">
        <f>B6*B2+(1-B6)*B8</f>
        <v>2205.96</v>
      </c>
    </row>
    <row r="14" spans="1:14" x14ac:dyDescent="0.3">
      <c r="A14" t="s">
        <v>12</v>
      </c>
      <c r="B14">
        <f>B6*B3+(1-B6)*B9</f>
        <v>1.5999997100000001</v>
      </c>
      <c r="D14" t="s">
        <v>20</v>
      </c>
      <c r="H14" t="s">
        <v>23</v>
      </c>
    </row>
    <row r="17" spans="1:12" x14ac:dyDescent="0.3">
      <c r="A17" t="s">
        <v>55</v>
      </c>
    </row>
    <row r="18" spans="1:12" s="3" customFormat="1" x14ac:dyDescent="0.3">
      <c r="A18" s="2" t="s">
        <v>44</v>
      </c>
      <c r="B18" s="6" t="s">
        <v>27</v>
      </c>
      <c r="C18" s="6" t="s">
        <v>28</v>
      </c>
      <c r="D18" s="6" t="s">
        <v>29</v>
      </c>
      <c r="E18" s="6" t="s">
        <v>45</v>
      </c>
      <c r="F18" s="11" t="s">
        <v>53</v>
      </c>
      <c r="G18" s="11" t="s">
        <v>39</v>
      </c>
      <c r="H18" s="11" t="s">
        <v>30</v>
      </c>
      <c r="I18" s="6" t="s">
        <v>40</v>
      </c>
      <c r="J18" s="6" t="s">
        <v>41</v>
      </c>
      <c r="K18" s="11" t="s">
        <v>42</v>
      </c>
      <c r="L18" s="6" t="s">
        <v>43</v>
      </c>
    </row>
    <row r="19" spans="1:12" x14ac:dyDescent="0.3">
      <c r="A19" s="12" t="s">
        <v>3</v>
      </c>
      <c r="B19" s="6" t="s">
        <v>46</v>
      </c>
      <c r="C19" s="6" t="s">
        <v>47</v>
      </c>
      <c r="D19" s="6" t="s">
        <v>48</v>
      </c>
      <c r="E19" s="6" t="s">
        <v>49</v>
      </c>
      <c r="F19" s="6" t="s">
        <v>54</v>
      </c>
      <c r="G19" s="13" t="s">
        <v>50</v>
      </c>
      <c r="H19" s="6" t="s">
        <v>51</v>
      </c>
      <c r="I19" s="6" t="s">
        <v>51</v>
      </c>
      <c r="J19" s="6" t="s">
        <v>51</v>
      </c>
      <c r="K19" s="13" t="s">
        <v>3</v>
      </c>
      <c r="L19" s="6" t="s">
        <v>52</v>
      </c>
    </row>
    <row r="20" spans="1:12" x14ac:dyDescent="0.3">
      <c r="A20" s="2" t="s">
        <v>31</v>
      </c>
      <c r="B20" s="6">
        <v>230</v>
      </c>
      <c r="C20" s="6">
        <v>2.5</v>
      </c>
      <c r="D20" s="6">
        <f>B20*C20</f>
        <v>575</v>
      </c>
      <c r="E20" s="6">
        <v>64</v>
      </c>
      <c r="F20" s="11">
        <f>D20/E20</f>
        <v>8.984375</v>
      </c>
      <c r="G20" s="11">
        <f>4*PI()</f>
        <v>12.566370614359172</v>
      </c>
      <c r="H20" s="11">
        <v>11.31</v>
      </c>
      <c r="I20" s="6">
        <v>600</v>
      </c>
      <c r="J20" s="6">
        <v>1700</v>
      </c>
      <c r="K20" s="11">
        <f>LN(J20/I20)</f>
        <v>1.0414538748281612</v>
      </c>
      <c r="L20" s="6">
        <f>(F20/(G20*H20))*K20</f>
        <v>6.5834788077571135E-2</v>
      </c>
    </row>
    <row r="21" spans="1:12" x14ac:dyDescent="0.3">
      <c r="A21" s="2" t="s">
        <v>32</v>
      </c>
      <c r="B21" s="6">
        <v>200</v>
      </c>
      <c r="C21" s="6">
        <v>2.5</v>
      </c>
      <c r="D21" s="6">
        <f>B21*C21</f>
        <v>500</v>
      </c>
      <c r="E21" s="6">
        <v>64</v>
      </c>
      <c r="F21" s="11">
        <f t="shared" ref="F21:F27" si="0">D21/E21</f>
        <v>7.8125</v>
      </c>
      <c r="G21" s="11">
        <f t="shared" ref="G21:G27" si="1">4*PI()</f>
        <v>12.566370614359172</v>
      </c>
      <c r="H21" s="11">
        <v>8.5500000000000007</v>
      </c>
      <c r="I21" s="6">
        <v>600</v>
      </c>
      <c r="J21" s="6">
        <v>1700</v>
      </c>
      <c r="K21" s="11">
        <f t="shared" ref="K21:K27" si="2">LN(J21/I21)</f>
        <v>1.0414538748281612</v>
      </c>
      <c r="L21" s="6">
        <f t="shared" ref="L21:L27" si="3">(F21/(G21*H21))*K21</f>
        <v>7.5727582319586012E-2</v>
      </c>
    </row>
    <row r="22" spans="1:12" x14ac:dyDescent="0.3">
      <c r="A22" s="2" t="s">
        <v>33</v>
      </c>
      <c r="B22" s="6">
        <v>170</v>
      </c>
      <c r="C22" s="6">
        <v>2.5</v>
      </c>
      <c r="D22" s="6">
        <f t="shared" ref="D22:D27" si="4">B22*C22</f>
        <v>425</v>
      </c>
      <c r="E22" s="6">
        <v>64</v>
      </c>
      <c r="F22" s="11">
        <f t="shared" si="0"/>
        <v>6.640625</v>
      </c>
      <c r="G22" s="11">
        <f t="shared" si="1"/>
        <v>12.566370614359172</v>
      </c>
      <c r="H22" s="11">
        <v>6.18</v>
      </c>
      <c r="I22" s="6">
        <v>600</v>
      </c>
      <c r="J22" s="6">
        <v>1700</v>
      </c>
      <c r="K22" s="11">
        <f t="shared" si="2"/>
        <v>1.0414538748281612</v>
      </c>
      <c r="L22" s="6">
        <f t="shared" si="3"/>
        <v>8.9053431150095702E-2</v>
      </c>
    </row>
    <row r="23" spans="1:12" x14ac:dyDescent="0.3">
      <c r="A23" s="2" t="s">
        <v>34</v>
      </c>
      <c r="B23" s="6">
        <v>140</v>
      </c>
      <c r="C23" s="6">
        <v>2.5</v>
      </c>
      <c r="D23" s="6">
        <f t="shared" si="4"/>
        <v>350</v>
      </c>
      <c r="E23" s="6">
        <v>64</v>
      </c>
      <c r="F23" s="11">
        <f t="shared" si="0"/>
        <v>5.46875</v>
      </c>
      <c r="G23" s="11">
        <f t="shared" si="1"/>
        <v>12.566370614359172</v>
      </c>
      <c r="H23" s="11">
        <v>4.1900000000000004</v>
      </c>
      <c r="I23" s="6">
        <v>600</v>
      </c>
      <c r="J23" s="6">
        <v>1700</v>
      </c>
      <c r="K23" s="11">
        <f t="shared" si="2"/>
        <v>1.0414538748281612</v>
      </c>
      <c r="L23" s="6">
        <f t="shared" si="3"/>
        <v>0.10816935087893134</v>
      </c>
    </row>
    <row r="24" spans="1:12" x14ac:dyDescent="0.3">
      <c r="A24" s="2" t="s">
        <v>35</v>
      </c>
      <c r="B24" s="6">
        <v>110</v>
      </c>
      <c r="C24" s="6">
        <v>2.5</v>
      </c>
      <c r="D24" s="6">
        <f t="shared" si="4"/>
        <v>275</v>
      </c>
      <c r="E24" s="6">
        <v>64</v>
      </c>
      <c r="F24" s="11">
        <f t="shared" si="0"/>
        <v>4.296875</v>
      </c>
      <c r="G24" s="11">
        <f t="shared" si="1"/>
        <v>12.566370614359172</v>
      </c>
      <c r="H24" s="11">
        <v>2.59</v>
      </c>
      <c r="I24" s="6">
        <v>600</v>
      </c>
      <c r="J24" s="6">
        <v>1700</v>
      </c>
      <c r="K24" s="11">
        <f t="shared" si="2"/>
        <v>1.0414538748281612</v>
      </c>
      <c r="L24" s="6">
        <f t="shared" si="3"/>
        <v>0.1374938053505225</v>
      </c>
    </row>
    <row r="25" spans="1:12" x14ac:dyDescent="0.3">
      <c r="A25" s="2" t="s">
        <v>36</v>
      </c>
      <c r="B25" s="6">
        <v>80</v>
      </c>
      <c r="C25" s="6">
        <v>2.5</v>
      </c>
      <c r="D25" s="6">
        <f t="shared" si="4"/>
        <v>200</v>
      </c>
      <c r="E25" s="6">
        <v>64</v>
      </c>
      <c r="F25" s="11">
        <f t="shared" si="0"/>
        <v>3.125</v>
      </c>
      <c r="G25" s="11">
        <f t="shared" si="1"/>
        <v>12.566370614359172</v>
      </c>
      <c r="H25" s="11">
        <v>1.37</v>
      </c>
      <c r="I25" s="6">
        <v>600</v>
      </c>
      <c r="J25" s="6">
        <v>1700</v>
      </c>
      <c r="K25" s="11">
        <f t="shared" si="2"/>
        <v>1.0414538748281612</v>
      </c>
      <c r="L25" s="6">
        <f t="shared" si="3"/>
        <v>0.18904257776130232</v>
      </c>
    </row>
    <row r="26" spans="1:12" x14ac:dyDescent="0.3">
      <c r="A26" s="2" t="s">
        <v>37</v>
      </c>
      <c r="B26" s="6">
        <v>50</v>
      </c>
      <c r="C26" s="6">
        <v>2.5</v>
      </c>
      <c r="D26" s="6">
        <f t="shared" si="4"/>
        <v>125</v>
      </c>
      <c r="E26" s="6">
        <v>64</v>
      </c>
      <c r="F26" s="11">
        <f t="shared" si="0"/>
        <v>1.953125</v>
      </c>
      <c r="G26" s="11">
        <f t="shared" si="1"/>
        <v>12.566370614359172</v>
      </c>
      <c r="H26" s="11">
        <v>0.53</v>
      </c>
      <c r="I26" s="6">
        <v>600</v>
      </c>
      <c r="J26" s="6">
        <v>1700</v>
      </c>
      <c r="K26" s="11">
        <f t="shared" si="2"/>
        <v>1.0414538748281612</v>
      </c>
      <c r="L26" s="6">
        <f t="shared" si="3"/>
        <v>0.30541076831719832</v>
      </c>
    </row>
    <row r="27" spans="1:12" x14ac:dyDescent="0.3">
      <c r="A27" s="2" t="s">
        <v>38</v>
      </c>
      <c r="B27" s="6">
        <v>20</v>
      </c>
      <c r="C27" s="6">
        <v>2.5</v>
      </c>
      <c r="D27" s="6">
        <f t="shared" si="4"/>
        <v>50</v>
      </c>
      <c r="E27" s="6">
        <v>64</v>
      </c>
      <c r="F27" s="11">
        <f t="shared" si="0"/>
        <v>0.78125</v>
      </c>
      <c r="G27" s="11">
        <f t="shared" si="1"/>
        <v>12.566370614359172</v>
      </c>
      <c r="H27" s="11">
        <v>0.09</v>
      </c>
      <c r="I27" s="6">
        <v>600</v>
      </c>
      <c r="J27" s="6">
        <v>1700</v>
      </c>
      <c r="K27" s="11">
        <f t="shared" si="2"/>
        <v>1.0414538748281612</v>
      </c>
      <c r="L27" s="6">
        <f t="shared" si="3"/>
        <v>0.71941203203606718</v>
      </c>
    </row>
    <row r="31" spans="1:12" x14ac:dyDescent="0.3">
      <c r="A31" s="3" t="s">
        <v>44</v>
      </c>
      <c r="B31" s="9" t="s">
        <v>27</v>
      </c>
      <c r="C31" s="9" t="s">
        <v>57</v>
      </c>
      <c r="D31" s="9" t="s">
        <v>45</v>
      </c>
      <c r="E31" s="9" t="s">
        <v>58</v>
      </c>
      <c r="F31" s="10" t="s">
        <v>53</v>
      </c>
      <c r="G31" s="10" t="s">
        <v>39</v>
      </c>
      <c r="H31" s="10" t="s">
        <v>30</v>
      </c>
      <c r="I31" s="9" t="s">
        <v>40</v>
      </c>
      <c r="J31" s="9" t="s">
        <v>41</v>
      </c>
      <c r="K31" s="10" t="s">
        <v>42</v>
      </c>
      <c r="L31" s="9" t="s">
        <v>43</v>
      </c>
    </row>
    <row r="32" spans="1:12" x14ac:dyDescent="0.3">
      <c r="A32" s="1" t="s">
        <v>3</v>
      </c>
      <c r="B32" s="4" t="s">
        <v>46</v>
      </c>
      <c r="C32" s="4" t="s">
        <v>56</v>
      </c>
      <c r="D32" s="4" t="s">
        <v>49</v>
      </c>
      <c r="E32" s="7" t="s">
        <v>59</v>
      </c>
      <c r="F32" s="4" t="s">
        <v>54</v>
      </c>
      <c r="G32" s="5" t="s">
        <v>50</v>
      </c>
      <c r="H32" s="4" t="s">
        <v>51</v>
      </c>
      <c r="I32" s="4" t="s">
        <v>51</v>
      </c>
      <c r="J32" s="4" t="s">
        <v>51</v>
      </c>
      <c r="K32" s="5" t="s">
        <v>3</v>
      </c>
      <c r="L32" s="6" t="s">
        <v>52</v>
      </c>
    </row>
    <row r="33" spans="1:12" x14ac:dyDescent="0.3">
      <c r="A33" t="s">
        <v>31</v>
      </c>
      <c r="B33" s="4">
        <f>B20*C20</f>
        <v>575</v>
      </c>
      <c r="C33" s="4">
        <v>1.47</v>
      </c>
      <c r="D33" s="7">
        <v>32</v>
      </c>
      <c r="E33" s="7">
        <f>Table13[[#This Row],[R'' ]]*Table13[[#This Row],[L_heat]]</f>
        <v>47.04</v>
      </c>
      <c r="F33" s="8">
        <f>Table13[[#This Row],[voltage]]^2/(Table13[[#This Row],[R]]*Table13[[#This Row],[L_heat]])</f>
        <v>219.64352147108843</v>
      </c>
      <c r="G33" s="8">
        <f>4*PI()</f>
        <v>12.566370614359172</v>
      </c>
      <c r="H33" s="8">
        <v>11.31</v>
      </c>
      <c r="I33" s="4">
        <v>600</v>
      </c>
      <c r="J33" s="4">
        <v>1700</v>
      </c>
      <c r="K33" s="8">
        <f>LN(J33/I33)</f>
        <v>1.0414538748281612</v>
      </c>
      <c r="L33" s="6">
        <f>(F33/(G33*H33))*K33</f>
        <v>1.609481426216131</v>
      </c>
    </row>
    <row r="34" spans="1:12" x14ac:dyDescent="0.3">
      <c r="A34" t="s">
        <v>32</v>
      </c>
      <c r="B34" s="4">
        <f t="shared" ref="B34:B40" si="5">B21*C21</f>
        <v>500</v>
      </c>
      <c r="C34" s="4">
        <v>1.47</v>
      </c>
      <c r="D34" s="7">
        <v>32</v>
      </c>
      <c r="E34" s="7">
        <f>Table13[[#This Row],[R'' ]]*Table13[[#This Row],[L_heat]]</f>
        <v>47.04</v>
      </c>
      <c r="F34" s="8">
        <f>Table13[[#This Row],[voltage]]^2/(Table13[[#This Row],[R]]*Table13[[#This Row],[L_heat]])</f>
        <v>166.08205782312925</v>
      </c>
      <c r="G34" s="8">
        <f t="shared" ref="G34:G40" si="6">4*PI()</f>
        <v>12.566370614359172</v>
      </c>
      <c r="H34" s="8">
        <v>8.5500000000000007</v>
      </c>
      <c r="I34" s="4">
        <v>600</v>
      </c>
      <c r="J34" s="4">
        <v>1700</v>
      </c>
      <c r="K34" s="8">
        <f t="shared" ref="K34:K40" si="7">LN(J34/I34)</f>
        <v>1.0414538748281612</v>
      </c>
      <c r="L34" s="6">
        <f t="shared" ref="L34:L40" si="8">(F34/(G34*H34))*K34</f>
        <v>1.60985506631773</v>
      </c>
    </row>
    <row r="35" spans="1:12" x14ac:dyDescent="0.3">
      <c r="A35" t="s">
        <v>33</v>
      </c>
      <c r="B35" s="4">
        <f t="shared" si="5"/>
        <v>425</v>
      </c>
      <c r="C35" s="4">
        <v>1.47</v>
      </c>
      <c r="D35" s="7">
        <v>32</v>
      </c>
      <c r="E35" s="7">
        <f>Table13[[#This Row],[R'' ]]*Table13[[#This Row],[L_heat]]</f>
        <v>47.04</v>
      </c>
      <c r="F35" s="8">
        <f>Table13[[#This Row],[voltage]]^2/(Table13[[#This Row],[R]]*Table13[[#This Row],[L_heat]])</f>
        <v>119.99428677721089</v>
      </c>
      <c r="G35" s="8">
        <f t="shared" si="6"/>
        <v>12.566370614359172</v>
      </c>
      <c r="H35" s="8">
        <v>6.18</v>
      </c>
      <c r="I35" s="4">
        <v>600</v>
      </c>
      <c r="J35" s="4">
        <v>1700</v>
      </c>
      <c r="K35" s="8">
        <f t="shared" si="7"/>
        <v>1.0414538748281612</v>
      </c>
      <c r="L35" s="6">
        <f t="shared" si="8"/>
        <v>1.6091712686560662</v>
      </c>
    </row>
    <row r="36" spans="1:12" x14ac:dyDescent="0.3">
      <c r="A36" t="s">
        <v>34</v>
      </c>
      <c r="B36" s="4">
        <f t="shared" si="5"/>
        <v>350</v>
      </c>
      <c r="C36" s="4">
        <v>1.47</v>
      </c>
      <c r="D36" s="7">
        <v>32</v>
      </c>
      <c r="E36" s="7">
        <f>Table13[[#This Row],[R'' ]]*Table13[[#This Row],[L_heat]]</f>
        <v>47.04</v>
      </c>
      <c r="F36" s="8">
        <f>Table13[[#This Row],[voltage]]^2/(Table13[[#This Row],[R]]*Table13[[#This Row],[L_heat]])</f>
        <v>81.380208333333329</v>
      </c>
      <c r="G36" s="8">
        <f t="shared" si="6"/>
        <v>12.566370614359172</v>
      </c>
      <c r="H36" s="8">
        <v>4.1900000000000004</v>
      </c>
      <c r="I36" s="4">
        <v>600</v>
      </c>
      <c r="J36" s="4">
        <v>1700</v>
      </c>
      <c r="K36" s="8">
        <f t="shared" si="7"/>
        <v>1.0414538748281612</v>
      </c>
      <c r="L36" s="6">
        <f t="shared" si="8"/>
        <v>1.6096629595079068</v>
      </c>
    </row>
    <row r="37" spans="1:12" x14ac:dyDescent="0.3">
      <c r="A37" t="s">
        <v>35</v>
      </c>
      <c r="B37" s="4">
        <f t="shared" si="5"/>
        <v>275</v>
      </c>
      <c r="C37" s="4">
        <v>1.47</v>
      </c>
      <c r="D37" s="7">
        <v>32</v>
      </c>
      <c r="E37" s="7">
        <f>Table13[[#This Row],[R'' ]]*Table13[[#This Row],[L_heat]]</f>
        <v>47.04</v>
      </c>
      <c r="F37" s="8">
        <f>Table13[[#This Row],[voltage]]^2/(Table13[[#This Row],[R]]*Table13[[#This Row],[L_heat]])</f>
        <v>50.239822491496597</v>
      </c>
      <c r="G37" s="8">
        <f t="shared" si="6"/>
        <v>12.566370614359172</v>
      </c>
      <c r="H37" s="8">
        <v>2.59</v>
      </c>
      <c r="I37" s="4">
        <v>600</v>
      </c>
      <c r="J37" s="4">
        <v>1700</v>
      </c>
      <c r="K37" s="8">
        <f t="shared" si="7"/>
        <v>1.0414538748281612</v>
      </c>
      <c r="L37" s="6">
        <f t="shared" si="8"/>
        <v>1.6076018907905478</v>
      </c>
    </row>
    <row r="38" spans="1:12" x14ac:dyDescent="0.3">
      <c r="A38" t="s">
        <v>36</v>
      </c>
      <c r="B38" s="4">
        <f t="shared" si="5"/>
        <v>200</v>
      </c>
      <c r="C38" s="4">
        <v>1.47</v>
      </c>
      <c r="D38" s="7">
        <v>32</v>
      </c>
      <c r="E38" s="7">
        <f>Table13[[#This Row],[R'' ]]*Table13[[#This Row],[L_heat]]</f>
        <v>47.04</v>
      </c>
      <c r="F38" s="8">
        <f>Table13[[#This Row],[voltage]]^2/(Table13[[#This Row],[R]]*Table13[[#This Row],[L_heat]])</f>
        <v>26.573129251700681</v>
      </c>
      <c r="G38" s="8">
        <f t="shared" si="6"/>
        <v>12.566370614359172</v>
      </c>
      <c r="H38" s="8">
        <v>1.37</v>
      </c>
      <c r="I38" s="4">
        <v>600</v>
      </c>
      <c r="J38" s="4">
        <v>1700</v>
      </c>
      <c r="K38" s="8">
        <f t="shared" si="7"/>
        <v>1.0414538748281612</v>
      </c>
      <c r="L38" s="6">
        <f t="shared" si="8"/>
        <v>1.6075049129362444</v>
      </c>
    </row>
    <row r="39" spans="1:12" x14ac:dyDescent="0.3">
      <c r="A39" t="s">
        <v>37</v>
      </c>
      <c r="B39" s="4">
        <f t="shared" si="5"/>
        <v>125</v>
      </c>
      <c r="C39" s="4">
        <v>1.47</v>
      </c>
      <c r="D39" s="7">
        <v>32</v>
      </c>
      <c r="E39" s="7">
        <f>Table13[[#This Row],[R'' ]]*Table13[[#This Row],[L_heat]]</f>
        <v>47.04</v>
      </c>
      <c r="F39" s="8">
        <f>Table13[[#This Row],[voltage]]^2/(Table13[[#This Row],[R]]*Table13[[#This Row],[L_heat]])</f>
        <v>10.380128613945578</v>
      </c>
      <c r="G39" s="8">
        <f t="shared" si="6"/>
        <v>12.566370614359172</v>
      </c>
      <c r="H39" s="8">
        <v>0.53</v>
      </c>
      <c r="I39" s="4">
        <v>600</v>
      </c>
      <c r="J39" s="4">
        <v>1700</v>
      </c>
      <c r="K39" s="8">
        <f t="shared" si="7"/>
        <v>1.0414538748281612</v>
      </c>
      <c r="L39" s="6">
        <f t="shared" si="8"/>
        <v>1.6231439642708243</v>
      </c>
    </row>
    <row r="40" spans="1:12" x14ac:dyDescent="0.3">
      <c r="A40" t="s">
        <v>38</v>
      </c>
      <c r="B40" s="4">
        <f t="shared" si="5"/>
        <v>50</v>
      </c>
      <c r="C40" s="4">
        <v>1.47</v>
      </c>
      <c r="D40" s="7">
        <v>32</v>
      </c>
      <c r="E40" s="7">
        <f>Table13[[#This Row],[R'' ]]*Table13[[#This Row],[L_heat]]</f>
        <v>47.04</v>
      </c>
      <c r="F40" s="8">
        <f>Table13[[#This Row],[voltage]]^2/(Table13[[#This Row],[R]]*Table13[[#This Row],[L_heat]])</f>
        <v>1.6608205782312926</v>
      </c>
      <c r="G40" s="8">
        <f t="shared" si="6"/>
        <v>12.566370614359172</v>
      </c>
      <c r="H40" s="8">
        <v>0.09</v>
      </c>
      <c r="I40" s="4">
        <v>600</v>
      </c>
      <c r="J40" s="4">
        <v>1700</v>
      </c>
      <c r="K40" s="8">
        <f t="shared" si="7"/>
        <v>1.0414538748281612</v>
      </c>
      <c r="L40" s="6">
        <f t="shared" si="8"/>
        <v>1.5293623130018437</v>
      </c>
    </row>
  </sheetData>
  <pageMargins left="0.7" right="0.7" top="0.75" bottom="0.75" header="0.3" footer="0.3"/>
  <pageSetup paperSize="9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Roeland Nieboer</dc:creator>
  <cp:lastModifiedBy>Roeland Nieboer</cp:lastModifiedBy>
  <dcterms:created xsi:type="dcterms:W3CDTF">2026-02-13T10:53:18Z</dcterms:created>
  <dcterms:modified xsi:type="dcterms:W3CDTF">2026-02-19T16:38:30Z</dcterms:modified>
</cp:coreProperties>
</file>